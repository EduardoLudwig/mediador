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EstaPastaDeTrabalho"/>
  <mc:AlternateContent xmlns:mc="http://schemas.openxmlformats.org/markup-compatibility/2006">
    <mc:Choice Requires="x15">
      <x15ac:absPath xmlns:x15ac="http://schemas.microsoft.com/office/spreadsheetml/2010/11/ac" url="C:\Users\165973\Desktop\Mediador\mediador exe V3\"/>
    </mc:Choice>
  </mc:AlternateContent>
  <xr:revisionPtr revIDLastSave="0" documentId="13_ncr:1_{E8E3B4B9-D000-4114-B124-F21920D6EB2D}" xr6:coauthVersionLast="47" xr6:coauthVersionMax="47" xr10:uidLastSave="{00000000-0000-0000-0000-000000000000}"/>
  <bookViews>
    <workbookView xWindow="-108" yWindow="-108" windowWidth="23256" windowHeight="12456" xr2:uid="{00000000-000D-0000-FFFF-FFFF00000000}"/>
  </bookViews>
  <sheets>
    <sheet name="SINDICATOS CONTRA" sheetId="26" r:id="rId1"/>
    <sheet name="municipios" sheetId="27" state="hidden" r:id="rId2"/>
    <sheet name="PESQUISA" sheetId="21" state="hidden" r:id="rId3"/>
    <sheet name="BASE (CNPJ ÚNICOS)" sheetId="9" state="hidden" r:id="rId4"/>
  </sheets>
  <externalReferences>
    <externalReference r:id="rId5"/>
  </externalReferences>
  <definedNames>
    <definedName name="_xlnm._FilterDatabase" localSheetId="3" hidden="1">'BASE (CNPJ ÚNICOS)'!$A$1:$E$313</definedName>
  </definedNames>
  <calcPr calcId="191029"/>
</workbook>
</file>

<file path=xl/calcChain.xml><?xml version="1.0" encoding="utf-8"?>
<calcChain xmlns="http://schemas.openxmlformats.org/spreadsheetml/2006/main">
  <c r="W625" i="26" l="1"/>
  <c r="W624" i="26"/>
  <c r="X624" i="26" s="1"/>
  <c r="W623" i="26"/>
  <c r="X623" i="26" s="1"/>
  <c r="W622" i="26"/>
  <c r="X622" i="26" s="1"/>
  <c r="W621" i="26"/>
  <c r="W620" i="26"/>
  <c r="X620" i="26" s="1"/>
  <c r="W619" i="26"/>
  <c r="W618" i="26"/>
  <c r="X618" i="26" s="1"/>
  <c r="W617" i="26"/>
  <c r="W616" i="26"/>
  <c r="W615" i="26"/>
  <c r="W614" i="26"/>
  <c r="X614" i="26" s="1"/>
  <c r="W613" i="26"/>
  <c r="W612" i="26"/>
  <c r="W611" i="26"/>
  <c r="W610" i="26"/>
  <c r="X610" i="26" s="1"/>
  <c r="W609" i="26"/>
  <c r="W608" i="26"/>
  <c r="X608" i="26" s="1"/>
  <c r="W607" i="26"/>
  <c r="W606" i="26"/>
  <c r="W605" i="26"/>
  <c r="W604" i="26"/>
  <c r="W603" i="26"/>
  <c r="W602" i="26"/>
  <c r="X602" i="26" s="1"/>
  <c r="W601" i="26"/>
  <c r="W600" i="26"/>
  <c r="W599" i="26"/>
  <c r="X599" i="26" s="1"/>
  <c r="W598" i="26"/>
  <c r="X598" i="26" s="1"/>
  <c r="W597" i="26"/>
  <c r="W596" i="26"/>
  <c r="W595" i="26"/>
  <c r="W594" i="26"/>
  <c r="X594" i="26" s="1"/>
  <c r="W593" i="26"/>
  <c r="W592" i="26"/>
  <c r="X592" i="26" s="1"/>
  <c r="W591" i="26"/>
  <c r="X591" i="26" s="1"/>
  <c r="W590" i="26"/>
  <c r="X590" i="26" s="1"/>
  <c r="W589" i="26"/>
  <c r="W588" i="26"/>
  <c r="W587" i="26"/>
  <c r="W586" i="26"/>
  <c r="X586" i="26" s="1"/>
  <c r="W585" i="26"/>
  <c r="W584" i="26"/>
  <c r="W583" i="26"/>
  <c r="W582" i="26"/>
  <c r="X582" i="26" s="1"/>
  <c r="W581" i="26"/>
  <c r="W580" i="26"/>
  <c r="X580" i="26" s="1"/>
  <c r="W579" i="26"/>
  <c r="W578" i="26"/>
  <c r="X578" i="26" s="1"/>
  <c r="W577" i="26"/>
  <c r="W576" i="26"/>
  <c r="W575" i="26"/>
  <c r="W574" i="26"/>
  <c r="X574" i="26" s="1"/>
  <c r="W573" i="26"/>
  <c r="W572" i="26"/>
  <c r="W571" i="26"/>
  <c r="W570" i="26"/>
  <c r="X570" i="26" s="1"/>
  <c r="W569" i="26"/>
  <c r="W568" i="26"/>
  <c r="W567" i="26"/>
  <c r="W566" i="26"/>
  <c r="X566" i="26" s="1"/>
  <c r="W565" i="26"/>
  <c r="W564" i="26"/>
  <c r="W563" i="26"/>
  <c r="W562" i="26"/>
  <c r="X562" i="26" s="1"/>
  <c r="W561" i="26"/>
  <c r="W560" i="26"/>
  <c r="X560" i="26" s="1"/>
  <c r="W559" i="26"/>
  <c r="W558" i="26"/>
  <c r="W557" i="26"/>
  <c r="W556" i="26"/>
  <c r="W555" i="26"/>
  <c r="W554" i="26"/>
  <c r="X554" i="26" s="1"/>
  <c r="W553" i="26"/>
  <c r="W552" i="26"/>
  <c r="W551" i="26"/>
  <c r="W550" i="26"/>
  <c r="W549" i="26"/>
  <c r="W548" i="26"/>
  <c r="W547" i="26"/>
  <c r="W546" i="26"/>
  <c r="X546" i="26" s="1"/>
  <c r="W545" i="26"/>
  <c r="W544" i="26"/>
  <c r="W543" i="26"/>
  <c r="W542" i="26"/>
  <c r="X542" i="26" s="1"/>
  <c r="W541" i="26"/>
  <c r="W540" i="26"/>
  <c r="X540" i="26" s="1"/>
  <c r="W539" i="26"/>
  <c r="W538" i="26"/>
  <c r="X538" i="26" s="1"/>
  <c r="W537" i="26"/>
  <c r="W536" i="26"/>
  <c r="X536" i="26" s="1"/>
  <c r="W535" i="26"/>
  <c r="X535" i="26" s="1"/>
  <c r="W534" i="26"/>
  <c r="X534" i="26" s="1"/>
  <c r="W533" i="26"/>
  <c r="W532" i="26"/>
  <c r="W531" i="26"/>
  <c r="W530" i="26"/>
  <c r="X530" i="26" s="1"/>
  <c r="W529" i="26"/>
  <c r="W528" i="26"/>
  <c r="W527" i="26"/>
  <c r="X527" i="26" s="1"/>
  <c r="W526" i="26"/>
  <c r="X526" i="26" s="1"/>
  <c r="W525" i="26"/>
  <c r="W524" i="26"/>
  <c r="X524" i="26" s="1"/>
  <c r="W523" i="26"/>
  <c r="W522" i="26"/>
  <c r="X522" i="26" s="1"/>
  <c r="W521" i="26"/>
  <c r="W520" i="26"/>
  <c r="W519" i="26"/>
  <c r="W518" i="26"/>
  <c r="X518" i="26" s="1"/>
  <c r="W517" i="26"/>
  <c r="W516" i="26"/>
  <c r="W515" i="26"/>
  <c r="W514" i="26"/>
  <c r="X514" i="26" s="1"/>
  <c r="W513" i="26"/>
  <c r="W512" i="26"/>
  <c r="X512" i="26" s="1"/>
  <c r="W511" i="26"/>
  <c r="W510" i="26"/>
  <c r="X510" i="26" s="1"/>
  <c r="W509" i="26"/>
  <c r="W508" i="26"/>
  <c r="W507" i="26"/>
  <c r="W506" i="26"/>
  <c r="W505" i="26"/>
  <c r="W504" i="26"/>
  <c r="X504" i="26" s="1"/>
  <c r="W503" i="26"/>
  <c r="X503" i="26" s="1"/>
  <c r="W502" i="26"/>
  <c r="X502" i="26" s="1"/>
  <c r="W501" i="26"/>
  <c r="X501" i="26" s="1"/>
  <c r="W500" i="26"/>
  <c r="W499" i="26"/>
  <c r="X499" i="26" s="1"/>
  <c r="W498" i="26"/>
  <c r="X498" i="26" s="1"/>
  <c r="W497" i="26"/>
  <c r="W496" i="26"/>
  <c r="X496" i="26" s="1"/>
  <c r="W495" i="26"/>
  <c r="X495" i="26" s="1"/>
  <c r="W494" i="26"/>
  <c r="X494" i="26" s="1"/>
  <c r="W493" i="26"/>
  <c r="X493" i="26" s="1"/>
  <c r="W492" i="26"/>
  <c r="W491" i="26"/>
  <c r="X491" i="26" s="1"/>
  <c r="W490" i="26"/>
  <c r="X490" i="26" s="1"/>
  <c r="W489" i="26"/>
  <c r="W488" i="26"/>
  <c r="X488" i="26" s="1"/>
  <c r="W487" i="26"/>
  <c r="X487" i="26" s="1"/>
  <c r="W486" i="26"/>
  <c r="W485" i="26"/>
  <c r="X485" i="26" s="1"/>
  <c r="W484" i="26"/>
  <c r="W483" i="26"/>
  <c r="X483" i="26" s="1"/>
  <c r="W482" i="26"/>
  <c r="X482" i="26" s="1"/>
  <c r="W481" i="26"/>
  <c r="W480" i="26"/>
  <c r="X480" i="26" s="1"/>
  <c r="W479" i="26"/>
  <c r="X479" i="26" s="1"/>
  <c r="W478" i="26"/>
  <c r="X478" i="26" s="1"/>
  <c r="W477" i="26"/>
  <c r="X477" i="26" s="1"/>
  <c r="W476" i="26"/>
  <c r="W475" i="26"/>
  <c r="X475" i="26" s="1"/>
  <c r="W474" i="26"/>
  <c r="X474" i="26" s="1"/>
  <c r="W473" i="26"/>
  <c r="W472" i="26"/>
  <c r="X472" i="26" s="1"/>
  <c r="W471" i="26"/>
  <c r="X471" i="26" s="1"/>
  <c r="W470" i="26"/>
  <c r="X470" i="26" s="1"/>
  <c r="W469" i="26"/>
  <c r="X469" i="26" s="1"/>
  <c r="W468" i="26"/>
  <c r="W467" i="26"/>
  <c r="X467" i="26" s="1"/>
  <c r="W466" i="26"/>
  <c r="X466" i="26" s="1"/>
  <c r="W465" i="26"/>
  <c r="W464" i="26"/>
  <c r="X464" i="26" s="1"/>
  <c r="W463" i="26"/>
  <c r="X463" i="26" s="1"/>
  <c r="W462" i="26"/>
  <c r="X462" i="26" s="1"/>
  <c r="W461" i="26"/>
  <c r="X461" i="26" s="1"/>
  <c r="W460" i="26"/>
  <c r="X460" i="26" s="1"/>
  <c r="W459" i="26"/>
  <c r="X459" i="26" s="1"/>
  <c r="W458" i="26"/>
  <c r="X458" i="26" s="1"/>
  <c r="W457" i="26"/>
  <c r="W456" i="26"/>
  <c r="X456" i="26" s="1"/>
  <c r="W455" i="26"/>
  <c r="X455" i="26" s="1"/>
  <c r="W454" i="26"/>
  <c r="X454" i="26" s="1"/>
  <c r="W453" i="26"/>
  <c r="X453" i="26" s="1"/>
  <c r="W452" i="26"/>
  <c r="W451" i="26"/>
  <c r="X451" i="26" s="1"/>
  <c r="W450" i="26"/>
  <c r="X450" i="26" s="1"/>
  <c r="W449" i="26"/>
  <c r="W448" i="26"/>
  <c r="X448" i="26" s="1"/>
  <c r="W447" i="26"/>
  <c r="X447" i="26" s="1"/>
  <c r="W446" i="26"/>
  <c r="X446" i="26" s="1"/>
  <c r="W445" i="26"/>
  <c r="X445" i="26" s="1"/>
  <c r="W444" i="26"/>
  <c r="X444" i="26" s="1"/>
  <c r="W443" i="26"/>
  <c r="X443" i="26" s="1"/>
  <c r="W442" i="26"/>
  <c r="X442" i="26" s="1"/>
  <c r="W441" i="26"/>
  <c r="W440" i="26"/>
  <c r="X440" i="26" s="1"/>
  <c r="W439" i="26"/>
  <c r="X439" i="26" s="1"/>
  <c r="W438" i="26"/>
  <c r="W437" i="26"/>
  <c r="X437" i="26" s="1"/>
  <c r="W436" i="26"/>
  <c r="X436" i="26" s="1"/>
  <c r="W435" i="26"/>
  <c r="X435" i="26" s="1"/>
  <c r="W434" i="26"/>
  <c r="X434" i="26" s="1"/>
  <c r="W433" i="26"/>
  <c r="W432" i="26"/>
  <c r="X432" i="26" s="1"/>
  <c r="W431" i="26"/>
  <c r="X431" i="26" s="1"/>
  <c r="W430" i="26"/>
  <c r="X430" i="26" s="1"/>
  <c r="W429" i="26"/>
  <c r="X429" i="26" s="1"/>
  <c r="W428" i="26"/>
  <c r="W427" i="26"/>
  <c r="W426" i="26"/>
  <c r="X426" i="26" s="1"/>
  <c r="W425" i="26"/>
  <c r="W424" i="26"/>
  <c r="X424" i="26" s="1"/>
  <c r="W423" i="26"/>
  <c r="X423" i="26" s="1"/>
  <c r="W422" i="26"/>
  <c r="X422" i="26" s="1"/>
  <c r="W421" i="26"/>
  <c r="X421" i="26" s="1"/>
  <c r="W420" i="26"/>
  <c r="X420" i="26" s="1"/>
  <c r="W419" i="26"/>
  <c r="X419" i="26" s="1"/>
  <c r="W418" i="26"/>
  <c r="X418" i="26" s="1"/>
  <c r="W417" i="26"/>
  <c r="W416" i="26"/>
  <c r="X416" i="26" s="1"/>
  <c r="W415" i="26"/>
  <c r="X415" i="26" s="1"/>
  <c r="W414" i="26"/>
  <c r="X414" i="26" s="1"/>
  <c r="W413" i="26"/>
  <c r="W412" i="26"/>
  <c r="X412" i="26" s="1"/>
  <c r="W411" i="26"/>
  <c r="X411" i="26" s="1"/>
  <c r="W410" i="26"/>
  <c r="X410" i="26" s="1"/>
  <c r="W409" i="26"/>
  <c r="W408" i="26"/>
  <c r="X408" i="26" s="1"/>
  <c r="W407" i="26"/>
  <c r="X407" i="26" s="1"/>
  <c r="W406" i="26"/>
  <c r="X406" i="26" s="1"/>
  <c r="W405" i="26"/>
  <c r="X405" i="26" s="1"/>
  <c r="W404" i="26"/>
  <c r="X404" i="26" s="1"/>
  <c r="W403" i="26"/>
  <c r="X403" i="26" s="1"/>
  <c r="W402" i="26"/>
  <c r="X402" i="26" s="1"/>
  <c r="W401" i="26"/>
  <c r="W400" i="26"/>
  <c r="X400" i="26" s="1"/>
  <c r="W399" i="26"/>
  <c r="X399" i="26" s="1"/>
  <c r="W398" i="26"/>
  <c r="X398" i="26" s="1"/>
  <c r="W397" i="26"/>
  <c r="X397" i="26" s="1"/>
  <c r="W396" i="26"/>
  <c r="X396" i="26" s="1"/>
  <c r="W395" i="26"/>
  <c r="W394" i="26"/>
  <c r="X394" i="26" s="1"/>
  <c r="W393" i="26"/>
  <c r="W392" i="26"/>
  <c r="X392" i="26" s="1"/>
  <c r="W391" i="26"/>
  <c r="X391" i="26" s="1"/>
  <c r="W390" i="26"/>
  <c r="X390" i="26" s="1"/>
  <c r="W389" i="26"/>
  <c r="X389" i="26" s="1"/>
  <c r="W388" i="26"/>
  <c r="X388" i="26" s="1"/>
  <c r="W387" i="26"/>
  <c r="X387" i="26" s="1"/>
  <c r="W386" i="26"/>
  <c r="X386" i="26" s="1"/>
  <c r="W385" i="26"/>
  <c r="W384" i="26"/>
  <c r="X384" i="26" s="1"/>
  <c r="W383" i="26"/>
  <c r="X383" i="26" s="1"/>
  <c r="W382" i="26"/>
  <c r="X382" i="26" s="1"/>
  <c r="W381" i="26"/>
  <c r="X381" i="26" s="1"/>
  <c r="W380" i="26"/>
  <c r="X380" i="26" s="1"/>
  <c r="W379" i="26"/>
  <c r="X379" i="26" s="1"/>
  <c r="W378" i="26"/>
  <c r="X378" i="26" s="1"/>
  <c r="W377" i="26"/>
  <c r="W376" i="26"/>
  <c r="X376" i="26" s="1"/>
  <c r="W375" i="26"/>
  <c r="X375" i="26" s="1"/>
  <c r="W374" i="26"/>
  <c r="W373" i="26"/>
  <c r="W372" i="26"/>
  <c r="X372" i="26" s="1"/>
  <c r="W371" i="26"/>
  <c r="X371" i="26" s="1"/>
  <c r="W370" i="26"/>
  <c r="X370" i="26" s="1"/>
  <c r="W369" i="26"/>
  <c r="W368" i="26"/>
  <c r="X368" i="26" s="1"/>
  <c r="W367" i="26"/>
  <c r="X367" i="26" s="1"/>
  <c r="W366" i="26"/>
  <c r="X366" i="26" s="1"/>
  <c r="W365" i="26"/>
  <c r="X365" i="26" s="1"/>
  <c r="W364" i="26"/>
  <c r="W363" i="26"/>
  <c r="X363" i="26" s="1"/>
  <c r="W362" i="26"/>
  <c r="X362" i="26" s="1"/>
  <c r="W361" i="26"/>
  <c r="W360" i="26"/>
  <c r="X360" i="26" s="1"/>
  <c r="W359" i="26"/>
  <c r="X359" i="26" s="1"/>
  <c r="W358" i="26"/>
  <c r="X358" i="26" s="1"/>
  <c r="W357" i="26"/>
  <c r="X357" i="26" s="1"/>
  <c r="W356" i="26"/>
  <c r="X356" i="26" s="1"/>
  <c r="W355" i="26"/>
  <c r="X355" i="26" s="1"/>
  <c r="W354" i="26"/>
  <c r="X354" i="26" s="1"/>
  <c r="W353" i="26"/>
  <c r="W352" i="26"/>
  <c r="X352" i="26" s="1"/>
  <c r="W351" i="26"/>
  <c r="W350" i="26"/>
  <c r="X350" i="26" s="1"/>
  <c r="W349" i="26"/>
  <c r="X349" i="26" s="1"/>
  <c r="W348" i="26"/>
  <c r="W347" i="26"/>
  <c r="X347" i="26" s="1"/>
  <c r="W346" i="26"/>
  <c r="X346" i="26" s="1"/>
  <c r="W345" i="26"/>
  <c r="W344" i="26"/>
  <c r="X344" i="26" s="1"/>
  <c r="W343" i="26"/>
  <c r="X343" i="26" s="1"/>
  <c r="W342" i="26"/>
  <c r="X342" i="26" s="1"/>
  <c r="W341" i="26"/>
  <c r="X341" i="26" s="1"/>
  <c r="W340" i="26"/>
  <c r="X340" i="26" s="1"/>
  <c r="W339" i="26"/>
  <c r="X339" i="26" s="1"/>
  <c r="W338" i="26"/>
  <c r="X338" i="26" s="1"/>
  <c r="W337" i="26"/>
  <c r="W336" i="26"/>
  <c r="X336" i="26" s="1"/>
  <c r="W335" i="26"/>
  <c r="X335" i="26" s="1"/>
  <c r="W334" i="26"/>
  <c r="W333" i="26"/>
  <c r="X333" i="26" s="1"/>
  <c r="W332" i="26"/>
  <c r="X332" i="26" s="1"/>
  <c r="W331" i="26"/>
  <c r="X331" i="26" s="1"/>
  <c r="W330" i="26"/>
  <c r="X330" i="26" s="1"/>
  <c r="W329" i="26"/>
  <c r="W328" i="26"/>
  <c r="X328" i="26" s="1"/>
  <c r="W327" i="26"/>
  <c r="X327" i="26" s="1"/>
  <c r="W326" i="26"/>
  <c r="X326" i="26" s="1"/>
  <c r="W325" i="26"/>
  <c r="X325" i="26" s="1"/>
  <c r="W324" i="26"/>
  <c r="X324" i="26" s="1"/>
  <c r="W323" i="26"/>
  <c r="X323" i="26" s="1"/>
  <c r="W322" i="26"/>
  <c r="X322" i="26" s="1"/>
  <c r="W321" i="26"/>
  <c r="W320" i="26"/>
  <c r="X320" i="26" s="1"/>
  <c r="W319" i="26"/>
  <c r="X319" i="26" s="1"/>
  <c r="W318" i="26"/>
  <c r="X318" i="26" s="1"/>
  <c r="W317" i="26"/>
  <c r="X317" i="26" s="1"/>
  <c r="W316" i="26"/>
  <c r="X316" i="26" s="1"/>
  <c r="W315" i="26"/>
  <c r="X315" i="26" s="1"/>
  <c r="W314" i="26"/>
  <c r="X314" i="26" s="1"/>
  <c r="W313" i="26"/>
  <c r="W312" i="26"/>
  <c r="X312" i="26" s="1"/>
  <c r="W311" i="26"/>
  <c r="X311" i="26" s="1"/>
  <c r="W310" i="26"/>
  <c r="W309" i="26"/>
  <c r="X309" i="26" s="1"/>
  <c r="W308" i="26"/>
  <c r="X308" i="26" s="1"/>
  <c r="W307" i="26"/>
  <c r="X307" i="26" s="1"/>
  <c r="W306" i="26"/>
  <c r="X306" i="26" s="1"/>
  <c r="W305" i="26"/>
  <c r="W304" i="26"/>
  <c r="X304" i="26" s="1"/>
  <c r="W303" i="26"/>
  <c r="X303" i="26" s="1"/>
  <c r="W302" i="26"/>
  <c r="X302" i="26" s="1"/>
  <c r="W301" i="26"/>
  <c r="X301" i="26" s="1"/>
  <c r="W300" i="26"/>
  <c r="X300" i="26" s="1"/>
  <c r="W299" i="26"/>
  <c r="X299" i="26" s="1"/>
  <c r="W298" i="26"/>
  <c r="X298" i="26" s="1"/>
  <c r="W297" i="26"/>
  <c r="W296" i="26"/>
  <c r="X296" i="26" s="1"/>
  <c r="W295" i="26"/>
  <c r="X295" i="26" s="1"/>
  <c r="W294" i="26"/>
  <c r="W293" i="26"/>
  <c r="X293" i="26" s="1"/>
  <c r="W292" i="26"/>
  <c r="X292" i="26" s="1"/>
  <c r="W291" i="26"/>
  <c r="W290" i="26"/>
  <c r="X290" i="26" s="1"/>
  <c r="W289" i="26"/>
  <c r="W288" i="26"/>
  <c r="X288" i="26" s="1"/>
  <c r="W287" i="26"/>
  <c r="X287" i="26" s="1"/>
  <c r="W286" i="26"/>
  <c r="X286" i="26" s="1"/>
  <c r="W285" i="26"/>
  <c r="X285" i="26" s="1"/>
  <c r="W284" i="26"/>
  <c r="X284" i="26" s="1"/>
  <c r="W283" i="26"/>
  <c r="X283" i="26" s="1"/>
  <c r="W282" i="26"/>
  <c r="X282" i="26" s="1"/>
  <c r="W281" i="26"/>
  <c r="W280" i="26"/>
  <c r="X280" i="26" s="1"/>
  <c r="W279" i="26"/>
  <c r="X279" i="26" s="1"/>
  <c r="W278" i="26"/>
  <c r="X278" i="26" s="1"/>
  <c r="W277" i="26"/>
  <c r="X277" i="26" s="1"/>
  <c r="W276" i="26"/>
  <c r="X276" i="26" s="1"/>
  <c r="W275" i="26"/>
  <c r="X275" i="26" s="1"/>
  <c r="W274" i="26"/>
  <c r="X274" i="26" s="1"/>
  <c r="W273" i="26"/>
  <c r="W272" i="26"/>
  <c r="X272" i="26" s="1"/>
  <c r="W271" i="26"/>
  <c r="X271" i="26" s="1"/>
  <c r="W270" i="26"/>
  <c r="X270" i="26" s="1"/>
  <c r="W269" i="26"/>
  <c r="W268" i="26"/>
  <c r="X268" i="26" s="1"/>
  <c r="W267" i="26"/>
  <c r="X267" i="26" s="1"/>
  <c r="W266" i="26"/>
  <c r="X266" i="26" s="1"/>
  <c r="W265" i="26"/>
  <c r="W264" i="26"/>
  <c r="X264" i="26" s="1"/>
  <c r="W263" i="26"/>
  <c r="X263" i="26" s="1"/>
  <c r="W262" i="26"/>
  <c r="X262" i="26" s="1"/>
  <c r="W261" i="26"/>
  <c r="X261" i="26" s="1"/>
  <c r="W260" i="26"/>
  <c r="W259" i="26"/>
  <c r="W258" i="26"/>
  <c r="X258" i="26" s="1"/>
  <c r="W257" i="26"/>
  <c r="W256" i="26"/>
  <c r="X256" i="26" s="1"/>
  <c r="W255" i="26"/>
  <c r="X255" i="26" s="1"/>
  <c r="W254" i="26"/>
  <c r="W253" i="26"/>
  <c r="X253" i="26" s="1"/>
  <c r="W252" i="26"/>
  <c r="X252" i="26" s="1"/>
  <c r="W251" i="26"/>
  <c r="X251" i="26" s="1"/>
  <c r="W250" i="26"/>
  <c r="X250" i="26" s="1"/>
  <c r="W249" i="26"/>
  <c r="W248" i="26"/>
  <c r="X248" i="26" s="1"/>
  <c r="W247" i="26"/>
  <c r="X247" i="26" s="1"/>
  <c r="W246" i="26"/>
  <c r="X246" i="26" s="1"/>
  <c r="W245" i="26"/>
  <c r="X245" i="26" s="1"/>
  <c r="W244" i="26"/>
  <c r="X244" i="26" s="1"/>
  <c r="W243" i="26"/>
  <c r="X243" i="26" s="1"/>
  <c r="W242" i="26"/>
  <c r="X242" i="26" s="1"/>
  <c r="W241" i="26"/>
  <c r="W240" i="26"/>
  <c r="X240" i="26" s="1"/>
  <c r="W239" i="26"/>
  <c r="X239" i="26" s="1"/>
  <c r="W238" i="26"/>
  <c r="X238" i="26" s="1"/>
  <c r="W237" i="26"/>
  <c r="X237" i="26" s="1"/>
  <c r="W236" i="26"/>
  <c r="X236" i="26" s="1"/>
  <c r="W235" i="26"/>
  <c r="X235" i="26" s="1"/>
  <c r="W234" i="26"/>
  <c r="X234" i="26" s="1"/>
  <c r="W233" i="26"/>
  <c r="W232" i="26"/>
  <c r="X232" i="26" s="1"/>
  <c r="W231" i="26"/>
  <c r="X231" i="26" s="1"/>
  <c r="W230" i="26"/>
  <c r="X230" i="26" s="1"/>
  <c r="W229" i="26"/>
  <c r="X229" i="26" s="1"/>
  <c r="W228" i="26"/>
  <c r="X228" i="26" s="1"/>
  <c r="W227" i="26"/>
  <c r="X227" i="26" s="1"/>
  <c r="W226" i="26"/>
  <c r="X226" i="26" s="1"/>
  <c r="W225" i="26"/>
  <c r="W224" i="26"/>
  <c r="X224" i="26" s="1"/>
  <c r="W223" i="26"/>
  <c r="X223" i="26" s="1"/>
  <c r="W222" i="26"/>
  <c r="X222" i="26" s="1"/>
  <c r="W221" i="26"/>
  <c r="X221" i="26" s="1"/>
  <c r="W220" i="26"/>
  <c r="X220" i="26" s="1"/>
  <c r="W219" i="26"/>
  <c r="X219" i="26" s="1"/>
  <c r="W218" i="26"/>
  <c r="X218" i="26" s="1"/>
  <c r="W217" i="26"/>
  <c r="W216" i="26"/>
  <c r="X216" i="26" s="1"/>
  <c r="W215" i="26"/>
  <c r="X215" i="26" s="1"/>
  <c r="W214" i="26"/>
  <c r="X214" i="26" s="1"/>
  <c r="W213" i="26"/>
  <c r="W212" i="26"/>
  <c r="X212" i="26" s="1"/>
  <c r="W211" i="26"/>
  <c r="X211" i="26" s="1"/>
  <c r="W210" i="26"/>
  <c r="X210" i="26" s="1"/>
  <c r="W209" i="26"/>
  <c r="W208" i="26"/>
  <c r="X208" i="26" s="1"/>
  <c r="W207" i="26"/>
  <c r="X207" i="26" s="1"/>
  <c r="W206" i="26"/>
  <c r="X206" i="26" s="1"/>
  <c r="W205" i="26"/>
  <c r="X205" i="26" s="1"/>
  <c r="W204" i="26"/>
  <c r="X204" i="26" s="1"/>
  <c r="W203" i="26"/>
  <c r="X203" i="26" s="1"/>
  <c r="W202" i="26"/>
  <c r="X202" i="26" s="1"/>
  <c r="W201" i="26"/>
  <c r="W200" i="26"/>
  <c r="X200" i="26" s="1"/>
  <c r="W199" i="26"/>
  <c r="X199" i="26" s="1"/>
  <c r="W198" i="26"/>
  <c r="W197" i="26"/>
  <c r="X197" i="26" s="1"/>
  <c r="W196" i="26"/>
  <c r="X196" i="26" s="1"/>
  <c r="W195" i="26"/>
  <c r="X195" i="26" s="1"/>
  <c r="W194" i="26"/>
  <c r="W193" i="26"/>
  <c r="W192" i="26"/>
  <c r="X192" i="26" s="1"/>
  <c r="W191" i="26"/>
  <c r="X191" i="26" s="1"/>
  <c r="W190" i="26"/>
  <c r="X190" i="26" s="1"/>
  <c r="W189" i="26"/>
  <c r="X189" i="26" s="1"/>
  <c r="W188" i="26"/>
  <c r="X188" i="26" s="1"/>
  <c r="W187" i="26"/>
  <c r="X187" i="26" s="1"/>
  <c r="W186" i="26"/>
  <c r="X186" i="26" s="1"/>
  <c r="W185" i="26"/>
  <c r="W184" i="26"/>
  <c r="X184" i="26" s="1"/>
  <c r="W183" i="26"/>
  <c r="X183" i="26" s="1"/>
  <c r="W182" i="26"/>
  <c r="W181" i="26"/>
  <c r="X181" i="26" s="1"/>
  <c r="W180" i="26"/>
  <c r="X180" i="26" s="1"/>
  <c r="W179" i="26"/>
  <c r="X179" i="26" s="1"/>
  <c r="W178" i="26"/>
  <c r="X178" i="26" s="1"/>
  <c r="W177" i="26"/>
  <c r="W176" i="26"/>
  <c r="X176" i="26" s="1"/>
  <c r="W175" i="26"/>
  <c r="X175" i="26" s="1"/>
  <c r="W174" i="26"/>
  <c r="X174" i="26" s="1"/>
  <c r="W173" i="26"/>
  <c r="X173" i="26" s="1"/>
  <c r="W172" i="26"/>
  <c r="X172" i="26" s="1"/>
  <c r="W171" i="26"/>
  <c r="X171" i="26" s="1"/>
  <c r="W170" i="26"/>
  <c r="X170" i="26" s="1"/>
  <c r="W169" i="26"/>
  <c r="W168" i="26"/>
  <c r="X168" i="26" s="1"/>
  <c r="W167" i="26"/>
  <c r="X167" i="26" s="1"/>
  <c r="W166" i="26"/>
  <c r="X166" i="26" s="1"/>
  <c r="W165" i="26"/>
  <c r="X165" i="26" s="1"/>
  <c r="W164" i="26"/>
  <c r="X164" i="26" s="1"/>
  <c r="W163" i="26"/>
  <c r="X163" i="26" s="1"/>
  <c r="W162" i="26"/>
  <c r="X162" i="26" s="1"/>
  <c r="W161" i="26"/>
  <c r="W160" i="26"/>
  <c r="X160" i="26" s="1"/>
  <c r="W159" i="26"/>
  <c r="X159" i="26" s="1"/>
  <c r="W158" i="26"/>
  <c r="X158" i="26" s="1"/>
  <c r="W157" i="26"/>
  <c r="X157" i="26" s="1"/>
  <c r="W156" i="26"/>
  <c r="X156" i="26" s="1"/>
  <c r="W155" i="26"/>
  <c r="X155" i="26" s="1"/>
  <c r="W154" i="26"/>
  <c r="X154" i="26" s="1"/>
  <c r="W153" i="26"/>
  <c r="W152" i="26"/>
  <c r="X152" i="26" s="1"/>
  <c r="W151" i="26"/>
  <c r="X151" i="26" s="1"/>
  <c r="W150" i="26"/>
  <c r="X150" i="26" s="1"/>
  <c r="W149" i="26"/>
  <c r="X149" i="26" s="1"/>
  <c r="W148" i="26"/>
  <c r="X148" i="26" s="1"/>
  <c r="W147" i="26"/>
  <c r="X147" i="26" s="1"/>
  <c r="W146" i="26"/>
  <c r="X146" i="26" s="1"/>
  <c r="W145" i="26"/>
  <c r="W144" i="26"/>
  <c r="X144" i="26" s="1"/>
  <c r="W143" i="26"/>
  <c r="X143" i="26" s="1"/>
  <c r="W142" i="26"/>
  <c r="X142" i="26" s="1"/>
  <c r="W141" i="26"/>
  <c r="X141" i="26" s="1"/>
  <c r="W140" i="26"/>
  <c r="X140" i="26" s="1"/>
  <c r="W139" i="26"/>
  <c r="X139" i="26" s="1"/>
  <c r="W138" i="26"/>
  <c r="X138" i="26" s="1"/>
  <c r="W137" i="26"/>
  <c r="W136" i="26"/>
  <c r="X136" i="26" s="1"/>
  <c r="W135" i="26"/>
  <c r="X135" i="26" s="1"/>
  <c r="W134" i="26"/>
  <c r="X134" i="26" s="1"/>
  <c r="W133" i="26"/>
  <c r="X133" i="26" s="1"/>
  <c r="W132" i="26"/>
  <c r="X132" i="26" s="1"/>
  <c r="W131" i="26"/>
  <c r="X131" i="26" s="1"/>
  <c r="W130" i="26"/>
  <c r="X130" i="26" s="1"/>
  <c r="W129" i="26"/>
  <c r="W128" i="26"/>
  <c r="X128" i="26" s="1"/>
  <c r="W127" i="26"/>
  <c r="X127" i="26" s="1"/>
  <c r="W126" i="26"/>
  <c r="X126" i="26" s="1"/>
  <c r="W125" i="26"/>
  <c r="X125" i="26" s="1"/>
  <c r="W124" i="26"/>
  <c r="X124" i="26" s="1"/>
  <c r="W123" i="26"/>
  <c r="X123" i="26" s="1"/>
  <c r="W122" i="26"/>
  <c r="X122" i="26" s="1"/>
  <c r="W121" i="26"/>
  <c r="W120" i="26"/>
  <c r="X120" i="26" s="1"/>
  <c r="W119" i="26"/>
  <c r="X119" i="26" s="1"/>
  <c r="W118" i="26"/>
  <c r="X118" i="26" s="1"/>
  <c r="W117" i="26"/>
  <c r="X117" i="26" s="1"/>
  <c r="W116" i="26"/>
  <c r="X116" i="26" s="1"/>
  <c r="W115" i="26"/>
  <c r="X115" i="26" s="1"/>
  <c r="W114" i="26"/>
  <c r="X114" i="26" s="1"/>
  <c r="W113" i="26"/>
  <c r="W112" i="26"/>
  <c r="X112" i="26" s="1"/>
  <c r="W111" i="26"/>
  <c r="X111" i="26" s="1"/>
  <c r="W110" i="26"/>
  <c r="X110" i="26" s="1"/>
  <c r="W109" i="26"/>
  <c r="W108" i="26"/>
  <c r="X108" i="26" s="1"/>
  <c r="W107" i="26"/>
  <c r="X107" i="26" s="1"/>
  <c r="W106" i="26"/>
  <c r="X106" i="26" s="1"/>
  <c r="W105" i="26"/>
  <c r="W104" i="26"/>
  <c r="X104" i="26" s="1"/>
  <c r="W103" i="26"/>
  <c r="X103" i="26" s="1"/>
  <c r="W102" i="26"/>
  <c r="X102" i="26" s="1"/>
  <c r="W101" i="26"/>
  <c r="X101" i="26" s="1"/>
  <c r="W100" i="26"/>
  <c r="X100" i="26" s="1"/>
  <c r="W99" i="26"/>
  <c r="X99" i="26" s="1"/>
  <c r="W98" i="26"/>
  <c r="X98" i="26" s="1"/>
  <c r="W97" i="26"/>
  <c r="W96" i="26"/>
  <c r="X96" i="26" s="1"/>
  <c r="W95" i="26"/>
  <c r="X95" i="26" s="1"/>
  <c r="W94" i="26"/>
  <c r="X94" i="26" s="1"/>
  <c r="W93" i="26"/>
  <c r="X93" i="26" s="1"/>
  <c r="W92" i="26"/>
  <c r="X92" i="26" s="1"/>
  <c r="W91" i="26"/>
  <c r="X91" i="26" s="1"/>
  <c r="W90" i="26"/>
  <c r="X90" i="26" s="1"/>
  <c r="W89" i="26"/>
  <c r="X89" i="26" s="1"/>
  <c r="W88" i="26"/>
  <c r="X88" i="26" s="1"/>
  <c r="W87" i="26"/>
  <c r="X87" i="26" s="1"/>
  <c r="W86" i="26"/>
  <c r="X86" i="26" s="1"/>
  <c r="W85" i="26"/>
  <c r="X85" i="26" s="1"/>
  <c r="W84" i="26"/>
  <c r="X84" i="26" s="1"/>
  <c r="W83" i="26"/>
  <c r="X83" i="26" s="1"/>
  <c r="W82" i="26"/>
  <c r="X82" i="26" s="1"/>
  <c r="W81" i="26"/>
  <c r="W80" i="26"/>
  <c r="X80" i="26" s="1"/>
  <c r="W79" i="26"/>
  <c r="X79" i="26" s="1"/>
  <c r="W78" i="26"/>
  <c r="X78" i="26" s="1"/>
  <c r="W77" i="26"/>
  <c r="X77" i="26" s="1"/>
  <c r="W76" i="26"/>
  <c r="X76" i="26" s="1"/>
  <c r="W75" i="26"/>
  <c r="W74" i="26"/>
  <c r="X74" i="26" s="1"/>
  <c r="W73" i="26"/>
  <c r="W72" i="26"/>
  <c r="X72" i="26" s="1"/>
  <c r="W71" i="26"/>
  <c r="X71" i="26" s="1"/>
  <c r="W70" i="26"/>
  <c r="W69" i="26"/>
  <c r="X69" i="26" s="1"/>
  <c r="W68" i="26"/>
  <c r="X68" i="26" s="1"/>
  <c r="W67" i="26"/>
  <c r="X67" i="26" s="1"/>
  <c r="W66" i="26"/>
  <c r="X66" i="26" s="1"/>
  <c r="W65" i="26"/>
  <c r="X65" i="26" s="1"/>
  <c r="W64" i="26"/>
  <c r="X64" i="26" s="1"/>
  <c r="W63" i="26"/>
  <c r="X63" i="26" s="1"/>
  <c r="W62" i="26"/>
  <c r="X62" i="26" s="1"/>
  <c r="W61" i="26"/>
  <c r="X61" i="26" s="1"/>
  <c r="W60" i="26"/>
  <c r="X60" i="26" s="1"/>
  <c r="W59" i="26"/>
  <c r="X59" i="26" s="1"/>
  <c r="W58" i="26"/>
  <c r="X58" i="26" s="1"/>
  <c r="W57" i="26"/>
  <c r="W56" i="26"/>
  <c r="X56" i="26" s="1"/>
  <c r="W55" i="26"/>
  <c r="X55" i="26" s="1"/>
  <c r="W54" i="26"/>
  <c r="X54" i="26" s="1"/>
  <c r="W53" i="26"/>
  <c r="X53" i="26" s="1"/>
  <c r="W52" i="26"/>
  <c r="X52" i="26" s="1"/>
  <c r="W51" i="26"/>
  <c r="X51" i="26" s="1"/>
  <c r="W50" i="26"/>
  <c r="X50" i="26" s="1"/>
  <c r="W49" i="26"/>
  <c r="W48" i="26"/>
  <c r="X48" i="26" s="1"/>
  <c r="W47" i="26"/>
  <c r="X47" i="26" s="1"/>
  <c r="W46" i="26"/>
  <c r="X46" i="26" s="1"/>
  <c r="W45" i="26"/>
  <c r="X45" i="26" s="1"/>
  <c r="W44" i="26"/>
  <c r="X44" i="26" s="1"/>
  <c r="W43" i="26"/>
  <c r="X43" i="26" s="1"/>
  <c r="W42" i="26"/>
  <c r="X42" i="26" s="1"/>
  <c r="W41" i="26"/>
  <c r="W40" i="26"/>
  <c r="X40" i="26" s="1"/>
  <c r="W39" i="26"/>
  <c r="X39" i="26" s="1"/>
  <c r="W38" i="26"/>
  <c r="X38" i="26" s="1"/>
  <c r="W37" i="26"/>
  <c r="X37" i="26" s="1"/>
  <c r="W36" i="26"/>
  <c r="X36" i="26" s="1"/>
  <c r="W35" i="26"/>
  <c r="W34" i="26"/>
  <c r="X34" i="26" s="1"/>
  <c r="W33" i="26"/>
  <c r="W32" i="26"/>
  <c r="X32" i="26" s="1"/>
  <c r="W31" i="26"/>
  <c r="X31" i="26" s="1"/>
  <c r="W30" i="26"/>
  <c r="X30" i="26" s="1"/>
  <c r="W29" i="26"/>
  <c r="X29" i="26" s="1"/>
  <c r="W28" i="26"/>
  <c r="X28" i="26" s="1"/>
  <c r="W27" i="26"/>
  <c r="X27" i="26" s="1"/>
  <c r="W26" i="26"/>
  <c r="X26" i="26" s="1"/>
  <c r="W25" i="26"/>
  <c r="W24" i="26"/>
  <c r="X24" i="26" s="1"/>
  <c r="W23" i="26"/>
  <c r="X23" i="26" s="1"/>
  <c r="W22" i="26"/>
  <c r="X22" i="26" s="1"/>
  <c r="W21" i="26"/>
  <c r="X21" i="26" s="1"/>
  <c r="W20" i="26"/>
  <c r="X20" i="26" s="1"/>
  <c r="W19" i="26"/>
  <c r="X19" i="26" s="1"/>
  <c r="W18" i="26"/>
  <c r="X18" i="26" s="1"/>
  <c r="W17" i="26"/>
  <c r="W16" i="26"/>
  <c r="X16" i="26" s="1"/>
  <c r="W15" i="26"/>
  <c r="X15" i="26" s="1"/>
  <c r="W14" i="26"/>
  <c r="X14" i="26" s="1"/>
  <c r="W13" i="26"/>
  <c r="X13" i="26" s="1"/>
  <c r="W12" i="26"/>
  <c r="X12" i="26" s="1"/>
  <c r="W11" i="26"/>
  <c r="X11" i="26" s="1"/>
  <c r="W10" i="26"/>
  <c r="X10" i="26" s="1"/>
  <c r="W9" i="26"/>
  <c r="X9" i="26" s="1"/>
  <c r="W8" i="26"/>
  <c r="X8" i="26" s="1"/>
  <c r="W7" i="26"/>
  <c r="X7" i="26" s="1"/>
  <c r="W6" i="26"/>
  <c r="X6" i="26" s="1"/>
  <c r="W5" i="26"/>
  <c r="X5" i="26" s="1"/>
  <c r="W4" i="26"/>
  <c r="X4" i="26" s="1"/>
  <c r="W3" i="26"/>
  <c r="X3" i="26" s="1"/>
  <c r="W2" i="26"/>
  <c r="X2" i="26" s="1"/>
  <c r="X513" i="26"/>
  <c r="X17" i="26"/>
  <c r="X25" i="26"/>
  <c r="X33" i="26"/>
  <c r="X35" i="26"/>
  <c r="X41" i="26"/>
  <c r="X49" i="26"/>
  <c r="X57" i="26"/>
  <c r="X70" i="26"/>
  <c r="X73" i="26"/>
  <c r="X75" i="26"/>
  <c r="X81" i="26"/>
  <c r="X97" i="26"/>
  <c r="X105" i="26"/>
  <c r="X109" i="26"/>
  <c r="X113" i="26"/>
  <c r="X121" i="26"/>
  <c r="X129" i="26"/>
  <c r="X137" i="26"/>
  <c r="X145" i="26"/>
  <c r="X153" i="26"/>
  <c r="X161" i="26"/>
  <c r="X169" i="26"/>
  <c r="X177" i="26"/>
  <c r="X182" i="26"/>
  <c r="X185" i="26"/>
  <c r="X193" i="26"/>
  <c r="X194" i="26"/>
  <c r="X198" i="26"/>
  <c r="X201" i="26"/>
  <c r="X209" i="26"/>
  <c r="X213" i="26"/>
  <c r="X217" i="26"/>
  <c r="X225" i="26"/>
  <c r="X233" i="26"/>
  <c r="X241" i="26"/>
  <c r="X249" i="26"/>
  <c r="X254" i="26"/>
  <c r="X257" i="26"/>
  <c r="X259" i="26"/>
  <c r="X260" i="26"/>
  <c r="X265" i="26"/>
  <c r="X269" i="26"/>
  <c r="X273" i="26"/>
  <c r="X281" i="26"/>
  <c r="X289" i="26"/>
  <c r="X291" i="26"/>
  <c r="X294" i="26"/>
  <c r="X297" i="26"/>
  <c r="X305" i="26"/>
  <c r="X310" i="26"/>
  <c r="X313" i="26"/>
  <c r="X321" i="26"/>
  <c r="X329" i="26"/>
  <c r="X334" i="26"/>
  <c r="X337" i="26"/>
  <c r="X345" i="26"/>
  <c r="X348" i="26"/>
  <c r="X351" i="26"/>
  <c r="X353" i="26"/>
  <c r="X361" i="26"/>
  <c r="X364" i="26"/>
  <c r="X369" i="26"/>
  <c r="X373" i="26"/>
  <c r="X374" i="26"/>
  <c r="X377" i="26"/>
  <c r="X385" i="26"/>
  <c r="X393" i="26"/>
  <c r="X395" i="26"/>
  <c r="X401" i="26"/>
  <c r="X409" i="26"/>
  <c r="X413" i="26"/>
  <c r="X417" i="26"/>
  <c r="X425" i="26"/>
  <c r="X427" i="26"/>
  <c r="X428" i="26"/>
  <c r="X433" i="26"/>
  <c r="X438" i="26"/>
  <c r="X441" i="26"/>
  <c r="X449" i="26"/>
  <c r="X452" i="26"/>
  <c r="X457" i="26"/>
  <c r="X465" i="26"/>
  <c r="X468" i="26"/>
  <c r="X473" i="26"/>
  <c r="X476" i="26"/>
  <c r="X481" i="26"/>
  <c r="X484" i="26"/>
  <c r="X486" i="26"/>
  <c r="X489" i="26"/>
  <c r="X492" i="26"/>
  <c r="X497" i="26"/>
  <c r="X500" i="26"/>
  <c r="X505" i="26"/>
  <c r="X506" i="26"/>
  <c r="X507" i="26"/>
  <c r="X508" i="26"/>
  <c r="X509" i="26"/>
  <c r="X511" i="26"/>
  <c r="X515" i="26"/>
  <c r="X516" i="26"/>
  <c r="X517" i="26"/>
  <c r="X519" i="26"/>
  <c r="X520" i="26"/>
  <c r="X521" i="26"/>
  <c r="X523" i="26"/>
  <c r="X525" i="26"/>
  <c r="X528" i="26"/>
  <c r="X529" i="26"/>
  <c r="X531" i="26"/>
  <c r="X532" i="26"/>
  <c r="X533" i="26"/>
  <c r="X537" i="26"/>
  <c r="X539" i="26"/>
  <c r="X541" i="26"/>
  <c r="X543" i="26"/>
  <c r="X544" i="26"/>
  <c r="X545" i="26"/>
  <c r="X547" i="26"/>
  <c r="X548" i="26"/>
  <c r="X549" i="26"/>
  <c r="X550" i="26"/>
  <c r="X551" i="26"/>
  <c r="X552" i="26"/>
  <c r="X553" i="26"/>
  <c r="X555" i="26"/>
  <c r="X556" i="26"/>
  <c r="X557" i="26"/>
  <c r="X558" i="26"/>
  <c r="X559" i="26"/>
  <c r="X561" i="26"/>
  <c r="X563" i="26"/>
  <c r="X564" i="26"/>
  <c r="X565" i="26"/>
  <c r="X567" i="26"/>
  <c r="X568" i="26"/>
  <c r="X569" i="26"/>
  <c r="X571" i="26"/>
  <c r="X572" i="26"/>
  <c r="X573" i="26"/>
  <c r="X575" i="26"/>
  <c r="X576" i="26"/>
  <c r="X577" i="26"/>
  <c r="X579" i="26"/>
  <c r="X581" i="26"/>
  <c r="X583" i="26"/>
  <c r="X584" i="26"/>
  <c r="X585" i="26"/>
  <c r="X587" i="26"/>
  <c r="X588" i="26"/>
  <c r="X589" i="26"/>
  <c r="X593" i="26"/>
  <c r="X595" i="26"/>
  <c r="X596" i="26"/>
  <c r="X597" i="26"/>
  <c r="X600" i="26"/>
  <c r="X601" i="26"/>
  <c r="X603" i="26"/>
  <c r="X604" i="26"/>
  <c r="X605" i="26"/>
  <c r="X606" i="26"/>
  <c r="X607" i="26"/>
  <c r="X609" i="26"/>
  <c r="X611" i="26"/>
  <c r="X612" i="26"/>
  <c r="X613" i="26"/>
  <c r="X615" i="26"/>
  <c r="X616" i="26"/>
  <c r="X617" i="26"/>
  <c r="X619" i="26"/>
  <c r="X621" i="26"/>
  <c r="X625" i="26"/>
</calcChain>
</file>

<file path=xl/sharedStrings.xml><?xml version="1.0" encoding="utf-8"?>
<sst xmlns="http://schemas.openxmlformats.org/spreadsheetml/2006/main" count="11585" uniqueCount="3675">
  <si>
    <t>CNPJ</t>
  </si>
  <si>
    <t>90.863.663/0001-22</t>
  </si>
  <si>
    <t>89.394.241/0001-76</t>
  </si>
  <si>
    <t>92.832.690/0001-63</t>
  </si>
  <si>
    <t>88.252.085/0001-46</t>
  </si>
  <si>
    <t>93.241.644/0001-52</t>
  </si>
  <si>
    <t>96.418.264/0218-02</t>
  </si>
  <si>
    <t>FEDERACAO DOS EMPREGADOS NO COMERCIO DE BENS E DE SERVICOS DO ESTADO DO RIO GRANDE DO SUL</t>
  </si>
  <si>
    <t>88.508.700/0001-32</t>
  </si>
  <si>
    <t>89.969.596/0001-46</t>
  </si>
  <si>
    <t>91.553.362/0001-65</t>
  </si>
  <si>
    <t>89.989.131/0001-57</t>
  </si>
  <si>
    <t>91.998.047/0001-41</t>
  </si>
  <si>
    <t>90.165.929/0001-63</t>
  </si>
  <si>
    <t>92.965.516/0001-99</t>
  </si>
  <si>
    <t>FEDERACAO DO COMERCIO DE BENS E DE SERVICOS DO ESTADO DO RIO GRANDE DO SUL</t>
  </si>
  <si>
    <t>92.889.021/0001-28</t>
  </si>
  <si>
    <t>88.703.384/0001-50</t>
  </si>
  <si>
    <t>89.651.632/0001-29</t>
  </si>
  <si>
    <t>90.740.788/0001-65</t>
  </si>
  <si>
    <t>SINDICATO EMPRESARIAL DO COMERCIO VAREJISTA FRONTEIRA NOROESTE DO RS</t>
  </si>
  <si>
    <t>05.552.881/0001-77</t>
  </si>
  <si>
    <t>90.223.454/0001-14</t>
  </si>
  <si>
    <t>92.006.154/0001-09</t>
  </si>
  <si>
    <t>SINDICATO DO COMERCIO VAREJISTA DE PALMEIRA DAS MISSOES</t>
  </si>
  <si>
    <t>87.447.413/0001-05</t>
  </si>
  <si>
    <t>90.160.540/0001-25</t>
  </si>
  <si>
    <t>89.707.434/0001-30</t>
  </si>
  <si>
    <t>87.545.703/0001-83</t>
  </si>
  <si>
    <t>93.237.915/0001-04</t>
  </si>
  <si>
    <t>90.161.993/0001-76</t>
  </si>
  <si>
    <t>00.377.255/0001-78</t>
  </si>
  <si>
    <t>SINDICATO DO COMERCIO VAREJISTA DE FREDERICO WESTPHALEN</t>
  </si>
  <si>
    <t>82.811.456/0001-04</t>
  </si>
  <si>
    <t>SINDICATO DOS EMPREGADOS NO COMERCIO E EM EMPRESAS DE SERVICOS CONTABEIS DE CONCORDIA</t>
  </si>
  <si>
    <t>75.321.828/0001-40</t>
  </si>
  <si>
    <t>98.417.710/0001-16</t>
  </si>
  <si>
    <t>98.417.462/0001-03</t>
  </si>
  <si>
    <t>90.866.856/0001-37</t>
  </si>
  <si>
    <t>91.550.707/0001-27</t>
  </si>
  <si>
    <t>89.706.444/0001-50</t>
  </si>
  <si>
    <t>87.678.488/0001-99</t>
  </si>
  <si>
    <t>83.017.830/0001-59</t>
  </si>
  <si>
    <t>82.941.097/0001-00</t>
  </si>
  <si>
    <t>92.913.730/0001-00</t>
  </si>
  <si>
    <t>96.042.445/0001-03</t>
  </si>
  <si>
    <t>89.498.356/0001-00</t>
  </si>
  <si>
    <t>89.927.131/0001-22</t>
  </si>
  <si>
    <t>91.260.935/0001-62</t>
  </si>
  <si>
    <t>90.868.662/0001-70</t>
  </si>
  <si>
    <t>89.109.961/0001-42</t>
  </si>
  <si>
    <t>90.811.605/0001-55</t>
  </si>
  <si>
    <t>88.144.068/0001-95</t>
  </si>
  <si>
    <t>91.695.288/0001-11</t>
  </si>
  <si>
    <t>95.627.485/0001-54</t>
  </si>
  <si>
    <t>95.627.774/0001-53</t>
  </si>
  <si>
    <t>92.046.820/0001-32</t>
  </si>
  <si>
    <t>SINDICATO DOS EMPREGADOS NO COMÉRCIO DE PASSO FUNDO E REGIÃO</t>
  </si>
  <si>
    <t>92.049.030/0001-00</t>
  </si>
  <si>
    <t>SINDICATO DO COMÉRCIO VAREJISTA DE PASSO FUNDO</t>
  </si>
  <si>
    <t>87.682.738/0001-64</t>
  </si>
  <si>
    <t>04.539.453/0001-41</t>
  </si>
  <si>
    <t>91.575.001/0001-10</t>
  </si>
  <si>
    <t>91.110.585/0001-58</t>
  </si>
  <si>
    <t>SINDICATO DOS EMPREGADOS NO COMÉRCIO DE TAQUARA</t>
  </si>
  <si>
    <t>97.763.494/0001-06</t>
  </si>
  <si>
    <t>SINDICATO DO COMÉRCIO VAREJISTA DO VALE DO PARANHANA</t>
  </si>
  <si>
    <t>90.153.453/0001-40</t>
  </si>
  <si>
    <t>92.236.793/0001-60</t>
  </si>
  <si>
    <t>SINDICATO DOS EMPREGADOS NO COMERCIO DE PELOTAS</t>
  </si>
  <si>
    <t>90.152.422/0001-75</t>
  </si>
  <si>
    <t>94.873.940/0001-39</t>
  </si>
  <si>
    <t>94.873.965/0001-32</t>
  </si>
  <si>
    <t>89.424.808/0001-00</t>
  </si>
  <si>
    <t>88.993.738/0001-48</t>
  </si>
  <si>
    <t>87.415.766/0001-15</t>
  </si>
  <si>
    <t>87.415.345/0001-94</t>
  </si>
  <si>
    <t>11.126.429/0001-46</t>
  </si>
  <si>
    <t>SINDICATO DOS EMPREGADOS NO COMERCIO DE JULIO DE CASTILHOS - SINDICOM - JULIO DE CASTILHOS</t>
  </si>
  <si>
    <t>94.068.608/0001-00</t>
  </si>
  <si>
    <t>93.205.029/0001-90</t>
  </si>
  <si>
    <t>SINDICATO DOS EMPREGADOS NO COMERCIO DE GUAIBA, ELDORADO DO SUL, BARRA DO RIBEIRO, CHARQUEADAS E ARROIO DOS RATOS</t>
  </si>
  <si>
    <t>92.860.618/0001-40</t>
  </si>
  <si>
    <t>91.110.262/0001-64</t>
  </si>
  <si>
    <t>91.693.234/0001-17</t>
  </si>
  <si>
    <t>90.896.507/0001-68</t>
  </si>
  <si>
    <t>90.874.652/0001-48</t>
  </si>
  <si>
    <t>89.341.093/0001-21</t>
  </si>
  <si>
    <t>89.339.998/0001-67</t>
  </si>
  <si>
    <t>91.100.339/0001-15</t>
  </si>
  <si>
    <t>91.337.147/0001-27</t>
  </si>
  <si>
    <t>94.435.625/0001-20</t>
  </si>
  <si>
    <t>88.955.984/0001-05</t>
  </si>
  <si>
    <t>92.396.621/0001-54</t>
  </si>
  <si>
    <t>SINDICATO DO COMERCIO VAREJISTA DE CACHOEIRINHA</t>
  </si>
  <si>
    <t>90.255.373/0001-04</t>
  </si>
  <si>
    <t>91.310.425/0001-52</t>
  </si>
  <si>
    <t>87.083.820/0001-72</t>
  </si>
  <si>
    <t>87.683.009/0001-22</t>
  </si>
  <si>
    <t>SINDICATO DOS EMPREGADOS NO COMERCIO DE CACAPAVA DO SUL</t>
  </si>
  <si>
    <t>96.757.612/0001-00</t>
  </si>
  <si>
    <t>87.775.235/0001-33</t>
  </si>
  <si>
    <t>87.775.185/0001-94</t>
  </si>
  <si>
    <t>SINDICATO DOS EMPREG COMERCIO DE STO ANTONIO PATRULHA</t>
  </si>
  <si>
    <t>SINDICATO DO COMERCIO VAREJISTA DE BENTO GONCALVES</t>
  </si>
  <si>
    <t>91.570.648/0001-59</t>
  </si>
  <si>
    <t>88.666.102/0001-91</t>
  </si>
  <si>
    <t>01.691.814/0001-82</t>
  </si>
  <si>
    <t>SINDICATO DO COMÉRCIO VAREJISTA DE NOVA PRATA</t>
  </si>
  <si>
    <t>90.934.431/0001-18</t>
  </si>
  <si>
    <t>SINDICATO DOS EMPREGADOS NO COMERCIO DE CANELA</t>
  </si>
  <si>
    <t>90.934.845/0001-47</t>
  </si>
  <si>
    <t>04.457.128/0001-30</t>
  </si>
  <si>
    <t>95.438.800/0001-03</t>
  </si>
  <si>
    <t>Sindicato dos Empregados no Comércio de Santa Cruz do Sul</t>
  </si>
  <si>
    <t>95.439.089/0001-01</t>
  </si>
  <si>
    <t>Sindicato do Comércio Varejista de Santa Cruz do Sul</t>
  </si>
  <si>
    <t>SINDICATO DOS EMPREGADOS NO COMERCIO DE LAJEADO</t>
  </si>
  <si>
    <t>08.666.045/0001-01</t>
  </si>
  <si>
    <t>91.340.455/0001-01</t>
  </si>
  <si>
    <t>SINDICATO DOS EMPREGADOS NO COMÉRCIO DE RIO PARDO</t>
  </si>
  <si>
    <t>07.435.459/0001-67</t>
  </si>
  <si>
    <t>SINDICATO DOS TRABALHADORES NO COMERCIO E SERVICOS DE ENCANTADO E ROCA SALES</t>
  </si>
  <si>
    <t>89.819.213/0001-53</t>
  </si>
  <si>
    <t>93.245.611/0001-80</t>
  </si>
  <si>
    <t>92.868.454/0001-05</t>
  </si>
  <si>
    <t>90.544.073/0001-37</t>
  </si>
  <si>
    <t>SINDICATO DOS EMPREGADOS NO COMÉRCIO DE VACARIA</t>
  </si>
  <si>
    <t>88.661.699/0001-81</t>
  </si>
  <si>
    <t>88.662.770/0001-40</t>
  </si>
  <si>
    <t>90.962.382/0001-27</t>
  </si>
  <si>
    <t>89.987.341/0001-06</t>
  </si>
  <si>
    <t>03.665.508/0001-05</t>
  </si>
  <si>
    <t>SINDICATO DOS LOJISTAS DO COMERCIO DE SANTA MARIA</t>
  </si>
  <si>
    <t>SINDICATO DOS EMPREGADOS NO COMERCIO DE CANOAS</t>
  </si>
  <si>
    <t>92.966.316/0001-50</t>
  </si>
  <si>
    <t>07.592.655/0001-45</t>
  </si>
  <si>
    <t>02.460.637/0001-96</t>
  </si>
  <si>
    <t>78.472.032/0001-87</t>
  </si>
  <si>
    <t>78.471.745/0001-26</t>
  </si>
  <si>
    <t>SINDICATO DO COMERCIO VAREJISTA E ATACADISTA DO EXTREMO OESTE DE SC</t>
  </si>
  <si>
    <t>87.592.226/0001-07</t>
  </si>
  <si>
    <t>Sindicato do Comércio Varejista de Sobradinho</t>
  </si>
  <si>
    <t>78.480.316/0001-15</t>
  </si>
  <si>
    <t>83.677.112/0001-09</t>
  </si>
  <si>
    <t>78.508.934/0001-26</t>
  </si>
  <si>
    <t>90.483.595/0001-76</t>
  </si>
  <si>
    <t>83.876.839/0001-15</t>
  </si>
  <si>
    <t>78.676.665/0001-07</t>
  </si>
  <si>
    <t>75.616.805/0001-63</t>
  </si>
  <si>
    <t>75.214.064/0001-94</t>
  </si>
  <si>
    <t>02.818.811/0001-20</t>
  </si>
  <si>
    <t>76.683.010/0001-30</t>
  </si>
  <si>
    <t>81.647.554/0001-87</t>
  </si>
  <si>
    <t>84.590.934/0001-10</t>
  </si>
  <si>
    <t>SINDICATO DOS EMPREGADOS NO COMERCIO E EM EMPRESAS DE SERVICOS CONTABEIS DE JOACABA</t>
  </si>
  <si>
    <t>95.996.112/0001-50</t>
  </si>
  <si>
    <t>01.846.706/0001-31</t>
  </si>
  <si>
    <t>78.115.524/0001-15</t>
  </si>
  <si>
    <t>78.679.594/0001-04</t>
  </si>
  <si>
    <t>SINDICATO DO COMERCIO VAREJISTA DE TOLEDO</t>
  </si>
  <si>
    <t>78.105.319/0001-79</t>
  </si>
  <si>
    <t>SINDICATO DOS EMPREGADOS NO COMERCIO DE CASCAVEL E REGIAO</t>
  </si>
  <si>
    <t>78.121.233/0001-30</t>
  </si>
  <si>
    <t>SINDICATO DOS LOJISTAS E DO COMERCIO VAREJISTA DE CASCAVEL E REGIAO_x0002_SINDILOJAS</t>
  </si>
  <si>
    <t>83.662.924/0001-80</t>
  </si>
  <si>
    <t>83.662.635/0001-81</t>
  </si>
  <si>
    <t>82.790.312/0001-00</t>
  </si>
  <si>
    <t>82.789.462/0001-02</t>
  </si>
  <si>
    <t>78.123.999/0001-53</t>
  </si>
  <si>
    <t>83.785.733/0001-06</t>
  </si>
  <si>
    <t>79.366.837/0001-09</t>
  </si>
  <si>
    <t>86.448.032/0001-70</t>
  </si>
  <si>
    <t>SINDICATO DOS EMPREGADOS NO COMÉRCIO DE TUBARÃO</t>
  </si>
  <si>
    <t>83.267.369/0001-92</t>
  </si>
  <si>
    <t>SINDICATO DO COMÉRCIO VAREJISTA E ATACADISTA DE TUBARÃO E REGIÃO – SINDILOJAS</t>
  </si>
  <si>
    <t>SINDICATO PATRONAL DO COMERCIO VAREJISTA DE PATO BRANCO</t>
  </si>
  <si>
    <t>92.832.880/0001-80</t>
  </si>
  <si>
    <t>09.223.872/0001-93</t>
  </si>
  <si>
    <t>13.745.915/0001-78</t>
  </si>
  <si>
    <t>83.787.614/0001-92</t>
  </si>
  <si>
    <t>79.367.751/0001-09</t>
  </si>
  <si>
    <t>85.787.562/0001-80</t>
  </si>
  <si>
    <t>83.780.569/0001-44</t>
  </si>
  <si>
    <t>82.666.025/0001-93</t>
  </si>
  <si>
    <t>82.662.727/0001-07</t>
  </si>
  <si>
    <t>05.275.341/0001-93</t>
  </si>
  <si>
    <t>03.420.865/0001-03</t>
  </si>
  <si>
    <t>80.990.021/0001-30</t>
  </si>
  <si>
    <t>80.991.516/0001-84</t>
  </si>
  <si>
    <t>80.611.965/0001-50</t>
  </si>
  <si>
    <t>78.106.465/0001-19</t>
  </si>
  <si>
    <t>78.275.666/0001-40</t>
  </si>
  <si>
    <t>77.735.009/0001-75</t>
  </si>
  <si>
    <t>04.702.939/0001-59</t>
  </si>
  <si>
    <t>76.722.750/0001-39</t>
  </si>
  <si>
    <t>79.266.730/0001-99</t>
  </si>
  <si>
    <t>78.670.247/0001-02</t>
  </si>
  <si>
    <t>80.879.471/0001-50</t>
  </si>
  <si>
    <t>95.948.501/0001-00</t>
  </si>
  <si>
    <t>75.423.723/0001-00</t>
  </si>
  <si>
    <t>75.431.809/0001-77</t>
  </si>
  <si>
    <t>03.538.745/0001-05</t>
  </si>
  <si>
    <t>15.461.676/0001-50</t>
  </si>
  <si>
    <t>86.685.054/0001-53</t>
  </si>
  <si>
    <t>15.555.022/0001-95</t>
  </si>
  <si>
    <t>76.690.395/0001-63</t>
  </si>
  <si>
    <t>78.592.011/0001-03</t>
  </si>
  <si>
    <t>81.163.560/0001-69</t>
  </si>
  <si>
    <t>80.251.481/0001-47</t>
  </si>
  <si>
    <t>03.808.241/0001-50</t>
  </si>
  <si>
    <t>78.149.200/0001-06</t>
  </si>
  <si>
    <t>78.637.824/0001-64</t>
  </si>
  <si>
    <t>75.220.954/0001-09</t>
  </si>
  <si>
    <t>83.929.588/0001-90</t>
  </si>
  <si>
    <t>83.901.892/0001-29</t>
  </si>
  <si>
    <t>79.147.799/0001-01</t>
  </si>
  <si>
    <t>77.266.146/0001-08</t>
  </si>
  <si>
    <t>80.059.330/0001-91</t>
  </si>
  <si>
    <t>72.098.668/0001-24</t>
  </si>
  <si>
    <t>76.111.319/0001-56</t>
  </si>
  <si>
    <t>86.878.063/0001-60</t>
  </si>
  <si>
    <t>57.327.397/0001-48</t>
  </si>
  <si>
    <t>08.403.323/0001-38</t>
  </si>
  <si>
    <t>95.585.246/0001-89</t>
  </si>
  <si>
    <t>72.557.473/0001-03</t>
  </si>
  <si>
    <t>57.320.277/0001-19</t>
  </si>
  <si>
    <t>53.311.809/0001-09</t>
  </si>
  <si>
    <t>64.615.404/0001-72</t>
  </si>
  <si>
    <t>50.838.382/0001-03</t>
  </si>
  <si>
    <t>01.103.498/0001-80</t>
  </si>
  <si>
    <t>11.193.424/0001-36</t>
  </si>
  <si>
    <t>01.988.948/0001-60</t>
  </si>
  <si>
    <t>07.932.556/0001-65</t>
  </si>
  <si>
    <t>08.237.524/0001-02</t>
  </si>
  <si>
    <t>76.261.338/0001-69</t>
  </si>
  <si>
    <t>45.031.531/0001-80</t>
  </si>
  <si>
    <t>48.211.403/0001-06</t>
  </si>
  <si>
    <t>58.978.651/0001-30</t>
  </si>
  <si>
    <t>54.699.699/0001-59</t>
  </si>
  <si>
    <t>55.354.849/0001-55</t>
  </si>
  <si>
    <t>60.989.944/0001-65</t>
  </si>
  <si>
    <t>62.658.182/0001-40</t>
  </si>
  <si>
    <t>44.373.355/0001-00</t>
  </si>
  <si>
    <t>62.661.269/0001-76</t>
  </si>
  <si>
    <t>45.029.907/0001-11</t>
  </si>
  <si>
    <t>76.721.430/0001-64</t>
  </si>
  <si>
    <t>01.923.630/0001-09</t>
  </si>
  <si>
    <t>03.106.614/0001-40</t>
  </si>
  <si>
    <t>75.294.371/0001-22</t>
  </si>
  <si>
    <t>88.458.146/0001-26</t>
  </si>
  <si>
    <t>92.962.232/0001-49</t>
  </si>
  <si>
    <t>92.939.933/0001-67</t>
  </si>
  <si>
    <t>89.023.089/0001-15</t>
  </si>
  <si>
    <t>89.138.168/0001-71</t>
  </si>
  <si>
    <t>91.345.231/0001-92</t>
  </si>
  <si>
    <t>NOME SINDICATO</t>
  </si>
  <si>
    <t>SINDICATO DOS EMPREGADOS NO COMERCIO DE SANTA ROSA</t>
  </si>
  <si>
    <t>SINDICATO DOS EMPREGADOS NO COMERCIO DE SAO JERONIMO E REGIAO</t>
  </si>
  <si>
    <t>SINDICATO DOS EMPREGADOS DO COMERCIO DE RIO DO SUL</t>
  </si>
  <si>
    <t>SINDICATO DO COMERCIO VAREJISTA DO ALTO VALE DO ITAJAI</t>
  </si>
  <si>
    <t>SINDICATO DO COMERCIO VAREJISTA DE BLUMENAU</t>
  </si>
  <si>
    <t>Sindicato dos Trabalhadores no Comércio Varejista, Atacadista e Similares de Curitibanos</t>
  </si>
  <si>
    <t>SINDICATO DO COMERCIO VAREJISTA DE CURITIBANOS E REGIAO</t>
  </si>
  <si>
    <t>SINDICATO DO COMERCIO VAREJISTA DE CAMPO MOURAO E REGIAO</t>
  </si>
  <si>
    <t>SINDICATO PATRONAL DO COMERCIO VAREJISTA DE MARECHAL CANDIDO RONDON E MICRO REGIAO</t>
  </si>
  <si>
    <t>SINDICATO DO COMERCIO VAREJISTA E ATACADISTA DE GASPAR</t>
  </si>
  <si>
    <t>SINDICATO DOS EMPREGADOS NO COMERCIO DE FOZ DO IGUACU E REGIAO</t>
  </si>
  <si>
    <t>SINDICATO PATRONAL DO COMERCIO VAREJISTA DE FOZ DO IGUACU E REGIAO</t>
  </si>
  <si>
    <t>FEDERACAO DO COMERCIO DE BENS, SERVICOS E TURISMO DO ESTADO DE MATO GROSSO DO SUL</t>
  </si>
  <si>
    <t>SINDICATO DOS COMERCIANTES VAREJISTAS E ATACADISTAS DE ICARA E REGIAO</t>
  </si>
  <si>
    <t>SINDICATO DOS LOJISTAS DO COMERCIO E DO COMERCIO VAREJISTA E ATACADISTA DE MARINGA E REGIAO</t>
  </si>
  <si>
    <t>Sindicato dos Empregados no Comércio de Presidente Venceslau - SECPV</t>
  </si>
  <si>
    <t>Sindicato Patronal do Comércio Varejista do Pontal do Paranapanema e Alta Paulista - SINCOMÉRCIO</t>
  </si>
  <si>
    <t>SINDICATO DO COMERCIO VAREJISTA DE ADAMANTINA E REGIAO - SINCOMERCIO NOVA ALTA PAULISTA</t>
  </si>
  <si>
    <t>FEDERACAO DOS EMPREGADOS NO COMERCIO E SERVICOS DO ESTADO DE MATO GROSSO DO SUL</t>
  </si>
  <si>
    <t>SINDICATO DOS TRABALHADORES NO COMERCIO E SERVICOS DE MARACAJU-MS</t>
  </si>
  <si>
    <t>SINDICATO DOS EMPREGADOS NO COMERCIO DE NOVA ANDRADINA, ANAURILANDIA, BATAGUASSU, BATAYPORA E TAQUARUSSU</t>
  </si>
  <si>
    <t>SINDICATO DO COMERCIO VAREJISTA DE NOVA ANDRADINA - SINCONOVA</t>
  </si>
  <si>
    <t>Sindicato dos Empregados no Comércio de Bauru</t>
  </si>
  <si>
    <t xml:space="preserve">Sindicato dos Empregados no Comércio de Garça </t>
  </si>
  <si>
    <t>Sindicato dos Empregados no Comércio de Ourinhos</t>
  </si>
  <si>
    <t>Sindicato dos Empregados no Comércio de São Paulo</t>
  </si>
  <si>
    <t>FEDERAÇÃO DO COMÉRCIO DE BENS, SERVIÇOS E TURISMO DO ESTADO DE SÃ0 PAULO - FECOMERCIO SP</t>
  </si>
  <si>
    <t>Sindicato dos Empregados no Comércio de Assis</t>
  </si>
  <si>
    <t>SINDICATO DO COMERCIO VAREJISTA E LOJISTA DO COMERCIO DE SAO PAULO</t>
  </si>
  <si>
    <t>SINDICATO DAS INSTITUIÇÕES FINANCEIRAS NÃO BANCÁRIAS DO ESTADO DO RIO GRANDE DO SUL - SINDFIN</t>
  </si>
  <si>
    <t>FEDERAÇÃO DOS TRABALHADORES E TRABALHADORAS EM INSTITUIÇÕES FINANCEIRAS DO RIO GRANDE DO SUL</t>
  </si>
  <si>
    <t>SINDICATO DOS EMPREGADOS EM EMPRESAS DE SEGUROS PRIVADOS E CAPITALIZAÇÃO E DE AGENTES AUTÔNOMOS DE SEGUROS PRIVADOS E DE CRÉDITO DO ESTADO DO RIO GRANDE DO SUL</t>
  </si>
  <si>
    <t>SINDICATO DOS CORRETORES DE SEGUROS E RESSEGUROS, DE EMPRESAS CORRETORAS DE SEGUROS E RESSEGUROS, SAÚDE, CAPITALIZAÇÃO E PREVIDÊNCIA PRIVADA NO ESTADO DO RIO GRANDE DO SUL</t>
  </si>
  <si>
    <t>SINDICATO DAS EMPRESAS DE SERVIÇOS CONTÁBEIS E DAS EMPRESAS DE ASSESSORAMENTO, PERÍCIAS, INFORMAÇÕES E PESQUISAS DO ESTADO DO RIO GRANDE DO SUL</t>
  </si>
  <si>
    <t>SIND EMPREG EMPRESAS ASS PERICIAS INF PESQ FUND EST RS</t>
  </si>
  <si>
    <t>SINDICATO DO COMERCIO VAREJISTA DE NOVO HAMBURGO</t>
  </si>
  <si>
    <t>SINDICATO DOS EMPREGADOS NO COMERCIO DE SAPIRANGA</t>
  </si>
  <si>
    <t>SINDICATO DOS EMPREGADOS NO COMERCIO DE SANTO ANGELO</t>
  </si>
  <si>
    <t>SINDICATO DO COMERCIO VAREJISTA DE SANTO ANGELO</t>
  </si>
  <si>
    <t>SINDICATO DOS EMPREG NO COMERCIO DE SAO LUIZ GONZAGA</t>
  </si>
  <si>
    <t>SINDICATO DO COMERCIO VAREJISTA DE SAO LUIZ GONZAGA</t>
  </si>
  <si>
    <t>SINDICATO DOS EMPREGADOS NO COMERCIO DE TRES PASSOS</t>
  </si>
  <si>
    <t>SINDICATO DO COMERCIO VAREJISTA DE TRES PASSOS</t>
  </si>
  <si>
    <t>SINDICATO DO COMERCIO VAREJISTA DE SAO BORJA</t>
  </si>
  <si>
    <t>SINDICATO DOS EMPREGADOS NO COMERCIO DE SAO BORJA</t>
  </si>
  <si>
    <t>SINDICATO DO COMERCIO VAREJISTA DE IJUI</t>
  </si>
  <si>
    <t>SINDICATO DOS EMPREGADOS NO COMERCIO DE IJUI</t>
  </si>
  <si>
    <t>SINDICATO DO COMERCIO VAREJISTA DE TRES DE MAIO</t>
  </si>
  <si>
    <t>SINDICATO DOS EMPREGADOS NO COMERCIO</t>
  </si>
  <si>
    <t>SINDICATO DO COMERCIO VAREJISTA DE CARAZINHO</t>
  </si>
  <si>
    <t>SINDICATO DOS EMPREGADOS NO COMERCIO DE CRUZ ALTA</t>
  </si>
  <si>
    <t>SINDICATO DOS LOJISTAS DO COMERCIO DE CRUZ ALTA</t>
  </si>
  <si>
    <t>SINDICATO DOS EMPREGADOS NO COMERCIO DE SARANDI</t>
  </si>
  <si>
    <t>SINDICATO DOS EMPREGADOS NO COMERCIO DE TAPERA</t>
  </si>
  <si>
    <t>SINDICATO DO COMERCIO VAREJISTA DE CONCORDIA</t>
  </si>
  <si>
    <t>SINDICATO DO COMERCIO VAREJISTA DE URUGUAIANA</t>
  </si>
  <si>
    <t>SINDICATO DOS EMPREGADOS NO COMERCIO DE URUGUAIANA</t>
  </si>
  <si>
    <t>SINDICATO DOS EMPREGADOS NO COMERCIO DE ALEGRETE</t>
  </si>
  <si>
    <t>SINDICATO DO COMERCIO VAREJISTA DE ALEGRETE</t>
  </si>
  <si>
    <t>SINDICATO DOS EMPREGADOS NO COMERCIO DE SANTIAGO</t>
  </si>
  <si>
    <t>SINDICATO DO COMERCIO VAREJISTA DE SANTIAGO</t>
  </si>
  <si>
    <t>SINDICATO DOS EMPREGADOS NO COMERCIO DE CHAPECO</t>
  </si>
  <si>
    <t>SINDICATO DO COMERCIO DA REGIAO DE CHAPECO</t>
  </si>
  <si>
    <t>SINDICATO DOS EMPREGADOS NO COMERCIO DE LIVRAMENTO</t>
  </si>
  <si>
    <t>SINDICATO DO COMERCIO VAREJISTA DE SANT ANA LIVRAMENTO</t>
  </si>
  <si>
    <t>SINDICATO DOS EMPREGADOS NO COMERCIO DE SAO GABRIEL</t>
  </si>
  <si>
    <t>SINDICATO DO COMERCIO VAREJISTA DE SAO GABRIEL</t>
  </si>
  <si>
    <t>SINDICATO DOS EMPREGADOS NO COMERCIO DE CONDOR</t>
  </si>
  <si>
    <t>SINDICATO DOS EMPREGADOS NO COMÉRCIO DE EREXIM</t>
  </si>
  <si>
    <t>SINDICATO DO COMERCIO VAREJISTA EM ERECHIM (Sindilojas Alto Uruguai Gaúcho)</t>
  </si>
  <si>
    <t>SINDICATO DO COMERCIO VAREJISTA DE GRAVATAI</t>
  </si>
  <si>
    <t>SINDICATO DOS EMPREGADOS NO COMERCIO DE NOVO HAMBURGO</t>
  </si>
  <si>
    <t>SINDICATO DOS EMPREGADOS NO COMERCIO DE SANTA MARIA</t>
  </si>
  <si>
    <t>SIN.DOS EMPREGADOS NO COMERCIO DE LAG. VERMELHA</t>
  </si>
  <si>
    <t>SINDICATO DO COMERCIO VAREJISTA DE TAPEJARA</t>
  </si>
  <si>
    <t>SINDICATO DOS TRABALHADORES NO COMERCIO DE IBIRUBA</t>
  </si>
  <si>
    <t>SINDICATO DO COMERCIO VAREJISTA DE CAMAQUA</t>
  </si>
  <si>
    <t>SINDICATO DOS EMPREGADOS NO COMÉRCIO DE CAMAQUÃ</t>
  </si>
  <si>
    <t>SINDICATO DOS EMPREGADOS NO COMERCIO DE RIO GRANDE</t>
  </si>
  <si>
    <t>SINDICATO DOS LOJISTAS DO COMERCIO DE RIO GRANDE</t>
  </si>
  <si>
    <t>SINDICATO DOS EMPREGADOS NO COMERCIO DE DOM PEDRITO RS</t>
  </si>
  <si>
    <t>SINDICATO DO COMERCIO VAREJISTA DE PELOTAS</t>
  </si>
  <si>
    <t xml:space="preserve">SINDICATO DO COMERCIO VAREJISTA DE BAGE </t>
  </si>
  <si>
    <t>SINDICATO DOS EMPREGADOS NO COMERCIO DE BAGE</t>
  </si>
  <si>
    <t>SINDICATO DO COMERCIO VAREJISTA DE GUAIBA</t>
  </si>
  <si>
    <t>SINDICATO DOS EMPREGADOS NO COMERCIO DE FARROUPILHA</t>
  </si>
  <si>
    <t>SINDICATO DO COMERCIO VAREJISTA DE FARROUPILHA</t>
  </si>
  <si>
    <t>SINDICATO DO COMERCIO VAREJISTA DE MONTENEGRO</t>
  </si>
  <si>
    <t>SINDICATO DOS EMPREGADOS NO COMERCIO DE MONTENEGRO</t>
  </si>
  <si>
    <t>SINDICATO DOS EMPREGADOS NO COMERCIO DE SAO SEBASTIAO</t>
  </si>
  <si>
    <t>SINDICATO DO COMERCIO VAREJISTA DE SAO LEOPOLDO</t>
  </si>
  <si>
    <t>SINDICATO DOS EMPREGADOS NO COMERCIO DE VIAMAO</t>
  </si>
  <si>
    <t>SINDICATO DO COMERCIO VAREJISTA DE VIAMAO - SINCOVAV</t>
  </si>
  <si>
    <t>SINDICATO DO COMERCIO VAREJISTA DE CANOAS</t>
  </si>
  <si>
    <t>SINDICATO DO COMERCIO VAREJISTA DE OSORIO</t>
  </si>
  <si>
    <t>SINDICATO DO COMERCIO VAREJISTA DE SAO SEPE</t>
  </si>
  <si>
    <t>SINDICATO DOS EMPREGADOS NO COMERCIO DE SAO LEOPOLDO</t>
  </si>
  <si>
    <t>SINDICATO EMPREGADOS NO COMERCIO DE CACHOEIRA DO SUL</t>
  </si>
  <si>
    <t>SINDICATO COMERCIO VAREJISTA DE CACHOEIRA DO SUL</t>
  </si>
  <si>
    <t>SINDICATO DO COMERCIO VAREJISTA DE LAJEADO</t>
  </si>
  <si>
    <t>SINDILOJAS - SINDICATO DO COMERCIO VAREJISTA DE TORRES</t>
  </si>
  <si>
    <t>SINDICATO DOS EMPREGADOS NO COMERCIO DE TAQUARI</t>
  </si>
  <si>
    <t>SINDICATO DOS EMPREGADOS NO COMERCIO DE QUARAI</t>
  </si>
  <si>
    <t>SINDICATO DO COMERCIO VAREGISTA DE QUARAI</t>
  </si>
  <si>
    <t>SINDICATO DO COMERCIO VAREJISTA DE VACARIA</t>
  </si>
  <si>
    <t>SINDICATO DOS EMPREGADOS NO COMERCIO DE CAXIAS DO SUL</t>
  </si>
  <si>
    <t>SINDICATO DO COMERCIO VAREJISTA DE CAXIAS DO SUL</t>
  </si>
  <si>
    <t>SINDICATO DOS EMPREGADOS NO COMERCIO DE JAGUARAO</t>
  </si>
  <si>
    <t>SINDICATO DO COMERCIO VAREJISTA DE JAGUARAO</t>
  </si>
  <si>
    <t>SINDICATO DOS LOJISTAS DO COMERCIO DE PORTO ALEGRE</t>
  </si>
  <si>
    <t>SINDICATO DOS EMPREGADOS NO COMERCIO DE ALVORADA</t>
  </si>
  <si>
    <t>SINDICATO DOS EMPREGADOS NO COMERCIO DE XAXIM E REGIAO</t>
  </si>
  <si>
    <t>SINDICATO DOS EMPREGADOS NOCOMERCIO DO EXTREMOESTE SC</t>
  </si>
  <si>
    <t>SINDICATO DOS EMPREGADOS NO COMERCIO DE XANXERE</t>
  </si>
  <si>
    <t>SINDICATO DO COMERCIO VAREJISTA DE XANXERE</t>
  </si>
  <si>
    <t>SINDICATO DO COM VAR DE GEN ALIM DO ALTO IRANI SC</t>
  </si>
  <si>
    <t>SINDICATO DO COMERCIO VAREJISTA DE LAGOA VERMELHA</t>
  </si>
  <si>
    <t>FEDERACAO DO COMERCIO DO ESTADO DE SANTA CATARINA</t>
  </si>
  <si>
    <t>SINDICATO DOS EMPREGADOS NO COMERCIO DE PATO BRANCO</t>
  </si>
  <si>
    <t>SINDICATO DOS EMPREGADOS NO COM DE UNIAO DA VITORIA</t>
  </si>
  <si>
    <t>FEDERACAO DO COMERCIO DO PARANA</t>
  </si>
  <si>
    <t>SIND LOJ COM E DO COM VARDEGEN ALIMEN UNIAO DA VITORIA</t>
  </si>
  <si>
    <t>SINDICATO DO COMERCIO VAREJISTA DE CAMPOS NOVOS</t>
  </si>
  <si>
    <t>SINDICATO DOS EMPREGADOS NO COMERCIO DE TOLEDO</t>
  </si>
  <si>
    <t>SINDICATO DOS EMPREGADOS NO COMERCIO DE CRICIUMA</t>
  </si>
  <si>
    <t>SINDICATO DO COMERCIO VAREJISTA DE CRICIUMA</t>
  </si>
  <si>
    <t>SINDICATO DOS EMPREGADOS NO COMERCIO DE LAGES</t>
  </si>
  <si>
    <t>SINDICATO DO COMERCIO VAREGISTA DE LAGES</t>
  </si>
  <si>
    <t>SINDICATO DOS EMPREGADOS NO COMERCIO DE FCO BELTRAO</t>
  </si>
  <si>
    <t>SfNDICATO DOS EMPREGADOS NO COMERCIO DE CANOINHAS</t>
  </si>
  <si>
    <t>SINDICATO DO COMERCIO VAREJISTA DE CANOINHAS</t>
  </si>
  <si>
    <t>SINDICATO DOS EMPREGADOS NO COMÉRCIO DE PORTO ALEGRE</t>
  </si>
  <si>
    <t>SINDICATO DO COMERCIO VAREJISTA DE MAFRA</t>
  </si>
  <si>
    <t>SINDICATO DO COMERCIO VAREJISTA DE SAO BENTO DO SUL</t>
  </si>
  <si>
    <t>SINDICATO DOS EMPREGADOS NO COMERCIO DE S BENTO DO SUL</t>
  </si>
  <si>
    <t>SINDICATO DOS EMPREGADOS NO COMERCIO DE BLUMENAU</t>
  </si>
  <si>
    <t>SINDICATO DOS TRAB NO COMERCIO DO VALE DO ARARANGUA</t>
  </si>
  <si>
    <t>SINDICATO DO COMERCIO VAREJISTA DO VALE DO ARARANGUA</t>
  </si>
  <si>
    <t>SINDICATO DOS EMPREGADOS NO COMERCIO DE GUARAPUAVA</t>
  </si>
  <si>
    <t>SINDICATO DO COMERCIO VAREJISTA DE GUARAPUAVA</t>
  </si>
  <si>
    <t>SINDICATO DOS EMPREGADOS NO COMERCIO DE UMUARAMA</t>
  </si>
  <si>
    <t>SINDICATO DOS LOJ DO COM DO COM V G A M DE ASSIS CHATEA</t>
  </si>
  <si>
    <t>SINDICATO DO COMERCIO VAREJISTA DE RIO NEGRINHO</t>
  </si>
  <si>
    <t>SINDICATO DO COMERCIO VAREJISTA DE NAVIRAI</t>
  </si>
  <si>
    <t>SINDICATO DOS EMPREGADOS NO COMERCIO DE NAVIRAI</t>
  </si>
  <si>
    <t>FEDERACAO DOS EMPREGADOS NO COM DO ESTADO DO PARANA</t>
  </si>
  <si>
    <t>SIND DOS EMPREGADOS NO COMERCIO DE S ANT PLATINA</t>
  </si>
  <si>
    <t>SIND DO COM VAREJ DE STO A DA PLATINA</t>
  </si>
  <si>
    <t>SINDICATO DOS EMPREGADOS DO COMERCIO DE PONTA GROSSA</t>
  </si>
  <si>
    <t>SINDICATO DO COMERCIO VAREJISTA DE IRATI</t>
  </si>
  <si>
    <t>SINDICATO DOS EMPREGADOS NO COMERCIO DE LONDRINA</t>
  </si>
  <si>
    <t>SINDICATO DO COMERCIO VAREJISTA DE LONDRINA</t>
  </si>
  <si>
    <t>FEDERACAO DOS TRAB NO COM NO ESTADO DE SANTA CATARINA</t>
  </si>
  <si>
    <t>SINDICATO DO COMERCIO VAREJISTA DE FLORIANOPOLIS E REGIAO</t>
  </si>
  <si>
    <t>SINDICATO DOS EMPREGADOS NO COMERCIO DE MARINGA</t>
  </si>
  <si>
    <t>SINDICATO DOS EMPREGADOS NO COMERCIO DE IVAIPORA</t>
  </si>
  <si>
    <t>SINDICATO EMPRESARIAL DO COMERCIO VAREJISTA DE IVAIPORA</t>
  </si>
  <si>
    <t>SINDICATO DOS TRABALHADORES NO COM VAREJISTA DE CASTRO</t>
  </si>
  <si>
    <t>SINDICATO DOS EMPREGADOS NO COMERCIO DE PALOTINA</t>
  </si>
  <si>
    <t>SINDICATO DOS EMPREGADOS NO COMERCIO DE TUPA</t>
  </si>
  <si>
    <t>SINDICATO DO COMERCIO VAREJISTA DE OSVALDO CRUZ</t>
  </si>
  <si>
    <t>SINDICATO DOS EMPREGADOS NO COMERCIO DE DRACENA</t>
  </si>
  <si>
    <t>SINDICATO DO COMERCIO VAREJISTA DE TUPA</t>
  </si>
  <si>
    <t>SINDICATO DOS EMPREGADOS NO COMERCIO DE PONTA PORA</t>
  </si>
  <si>
    <t>SINDICATO DOS EMPREGADOS NO COMERCIO DE CORN PROCOPIO</t>
  </si>
  <si>
    <t>SINDICATO DO COMERCIO VAREJISTA DE BAURU</t>
  </si>
  <si>
    <t>SINDICATO DO COMERCIO VAREJISTA DE PARANAVAI</t>
  </si>
  <si>
    <t>SINDICATO DOS EMPREGADOS NO COMERCIO DE TRES LAGOAS</t>
  </si>
  <si>
    <t>SINDICATO DO COMERCIO VAREJISTA DE TRES LAGOAS</t>
  </si>
  <si>
    <t>SINDICATO DOS EMPREGADOS NO COMERCIO DE APUCARANA</t>
  </si>
  <si>
    <t>LOJA</t>
  </si>
  <si>
    <t>SINDICATO DO COMERCIO VAREJISTA DE CASTRO</t>
  </si>
  <si>
    <t>SINDICATO EMPRESARIAL DO COMERCIO VAREJISTA DE SANTO ANGELO</t>
  </si>
  <si>
    <t>LOJAS QUERO-QUERO S.A</t>
  </si>
  <si>
    <t>SINDICATO DOS EMPREGADOS NO COMÉRCIO DE CARAZINHO</t>
  </si>
  <si>
    <t>94.873.965/0001 -32</t>
  </si>
  <si>
    <t>SINDICATO DOS EMPREGADOS NO COMERCIO DE CRICIUMA E REGIAO</t>
  </si>
  <si>
    <t>78.105.319/0001- 79</t>
  </si>
  <si>
    <t>83.662.924/0001- 80</t>
  </si>
  <si>
    <t>SINDICATO DOS EMPREGADOS NO COMERCIO DO EXTREMOESTE SC</t>
  </si>
  <si>
    <t>SINDICATO DOS EMPREGADOS NO COMERCIO DE CANOINHAS</t>
  </si>
  <si>
    <t>SINDICATO DOS EMPREGADOS NO COMERCIO DE SAO FC DE ASSIS</t>
  </si>
  <si>
    <t>91.551.028/0001-72</t>
  </si>
  <si>
    <t>SINDICATO DO COMERCIO VAREJISTA DE CANGUCU</t>
  </si>
  <si>
    <t>01.576.247/0001-13</t>
  </si>
  <si>
    <t>SINDICATO DOS EMPREGADOS NO COMERCIO DE CANGUCU</t>
  </si>
  <si>
    <t>03.882.797/0001-96</t>
  </si>
  <si>
    <t xml:space="preserve">SINDICATO DO COMERCIO ATACADISTA DO ESTADO DO RIO GRANDE DO SUL </t>
  </si>
  <si>
    <t>SINDICATO DO COMERCIO VAREJISTA SAO FRANCISCO DE ASSIS</t>
  </si>
  <si>
    <t>90.866.195/0001-40</t>
  </si>
  <si>
    <t>SINDICATO DOS EMPREGADOS NO COMERCIO DE ROSARIO DO SUL</t>
  </si>
  <si>
    <t>91.992.081/0001-09</t>
  </si>
  <si>
    <t>SINDICATO DOS EMPREGADOS NO COMERCIO DE BENTO GONCALVES</t>
  </si>
  <si>
    <t>SINDICATO DOS LOJISTAS DA REGIAO DAS HORTENSIAS</t>
  </si>
  <si>
    <t>SINDICATO DOS EMPREGADOS NO COMERCIO DE VACARIA</t>
  </si>
  <si>
    <t>SINDICATO DO COMERCIO VAREJISTA DE BAGE</t>
  </si>
  <si>
    <t xml:space="preserve">SINDICATO DOS EMPREGADOS NO COMERCIO DE ERECHIM - SINDICOMERCÁRIOS </t>
  </si>
  <si>
    <t>SINDICATO DO COMERCIO VAREJISTA DE CACADOR</t>
  </si>
  <si>
    <t>83.608.612/0001-99</t>
  </si>
  <si>
    <t>SINDICATO DOS EMPREGADOS NO COMERCIO DE CACADOR</t>
  </si>
  <si>
    <t>83.083.576/0001-97</t>
  </si>
  <si>
    <t>SINDICATO DOS TRABALHADORES NO COMERCIO VAREJISTA E ATACADISTA DE SAO LOURENCO DO OESTE E REGIAO</t>
  </si>
  <si>
    <t xml:space="preserve">SINDICATO DO COMERCIO VAREJISTA DE VIDEIRA </t>
  </si>
  <si>
    <t>78.488.137/0001-24</t>
  </si>
  <si>
    <t>83.608.950/0001-20</t>
  </si>
  <si>
    <t xml:space="preserve">SINDICATO DOS EMPREGADOS NO COMERCIO VAREJISTA, ATACADISTA E SIMILARES DE VIDEIRA </t>
  </si>
  <si>
    <t>00.993.443/0001-50</t>
  </si>
  <si>
    <t xml:space="preserve">SINDICATO DOS TRABALHADORES NO COMERCIO DE FRAIBURGO </t>
  </si>
  <si>
    <t>00.982.844/0001-85</t>
  </si>
  <si>
    <t>SINDICATO DO COMERCIO DE FRAIBURGO</t>
  </si>
  <si>
    <t xml:space="preserve">SINDICATO DO COMERCIO VAREJISTA DO MEIO-OESTE CATARINENSE </t>
  </si>
  <si>
    <t>83.087.205/0001-83</t>
  </si>
  <si>
    <t>LOJAS QUERO-QUERO S/A</t>
  </si>
  <si>
    <t>SINDICATO DO COMERCIO VAREJISTA DE SOBRADINHO</t>
  </si>
  <si>
    <t>SINDICATO DOS LOJISTAS E DO COMERCIO VAREJISTA DE FRANCISCO BELTRAO - SINDILOJAS</t>
  </si>
  <si>
    <t>78.687.084/0001-70</t>
  </si>
  <si>
    <t>SINDICATO DOS EMPREGADOS NO COMERCIO DE GUAIBA, ELDORADO DO SUL, BARRA DO RIBEIRO, CHARQUEADAS E ARROIO DOS RATOS,</t>
  </si>
  <si>
    <t>SINDICATO DOS EMPREGADOS NO COMERCIO DE SAO JERONIMO E REGIAO,</t>
  </si>
  <si>
    <t>SINDICATO DOS TRABALHADORES NO COMERCIO VAREJISTA, ATACADISTA E AGENTES AUTONOMOS DO COMERCIO DE TUBARAO E REGIAO</t>
  </si>
  <si>
    <t>SINDICATO DOS EMPREGADOS NO COMERCIO DE JARAGUA DO SUL</t>
  </si>
  <si>
    <t>83.539.569/0001-57</t>
  </si>
  <si>
    <t>SINDICATO DO COMERCIO VAREJISTA DE JARAGUA DO SUL</t>
  </si>
  <si>
    <t>83.618.330/0001-72</t>
  </si>
  <si>
    <t>SINDICATO DOS EMPREGADOS NO COMERCIO DE BRUSQUE</t>
  </si>
  <si>
    <t>82.991.837/0001-04</t>
  </si>
  <si>
    <t>SINDICATO DO COMERCIO VAREJISTA DO VALE DO RIO TIJUCAS</t>
  </si>
  <si>
    <t>81.286.957/0001-48</t>
  </si>
  <si>
    <t>77.935.518/0001-41</t>
  </si>
  <si>
    <t>SINDICATO DOS EMPREGADOS NO COMERCIO DE PARANAVAÍ</t>
  </si>
  <si>
    <t>SINDICATO DO COMERCIO DE PARANAVAÍ</t>
  </si>
  <si>
    <t xml:space="preserve">SINDICATO DOS LOJISTAS DO COMERCIO E DO COMERCIO VAREJISTA DE GENEROS ALIMENTICIOS DE MAQUINISMOS, FERRAGENS E TINTAS, DE MATERIAL ELETRICO E APARELHOS ELETRODOMESTICOS DE UMUARAMA  </t>
  </si>
  <si>
    <t xml:space="preserve">SINDICATO DOS EMPREGADOS NO COMERCIO DE CIANORTE </t>
  </si>
  <si>
    <t>76.714.054/0001-80</t>
  </si>
  <si>
    <t xml:space="preserve">SIND DOS LOJISTAS  DO COM VAREJISTA DE CIANORTE </t>
  </si>
  <si>
    <t>80.909.799/0001-72</t>
  </si>
  <si>
    <t xml:space="preserve"> SINDICATO DOS LOGISTAS DO COMERCIO E DO COMERCIO VAREJISTA DE GENEROS ALIMENTICIOS DE PRUDENTOPOLIS</t>
  </si>
  <si>
    <t>80.639.149/0001-54</t>
  </si>
  <si>
    <t xml:space="preserve">SINDICATO DOS EMPREGADOS NO COMERCIO DE CAÇADOR </t>
  </si>
  <si>
    <t xml:space="preserve">SINDICATO DO COMERCIO VAREJISTA DE CAÇADOR (SC) </t>
  </si>
  <si>
    <t>SINDICATO DO COMERCIO VAREJISTA DE PONTA GROSSA</t>
  </si>
  <si>
    <t>80.250.814/0001-13</t>
  </si>
  <si>
    <t xml:space="preserve">SINDICATO DOS EMPREGADOS NO COMÉRCIO VAREJISTA, ATACADISTA E AGENTES AUTONOMOS DO COMERCIO DE TUBARAO E REGIAO </t>
  </si>
  <si>
    <t xml:space="preserve">  SINDICATO DOS EMPREGADOS NO COMÉRCIO VAREJISTA, ATACADISTA E AGENTES AUTONOMOS DO COMERCIO DE TUBARAO E REGIAO </t>
  </si>
  <si>
    <t>77.819.142/0001-00</t>
  </si>
  <si>
    <t>SINDICATO DO COMERCIO DE MEDIANEIRA E REGIAO</t>
  </si>
  <si>
    <t>SINDICATO DOS EMPREGADOS NO COMERCIO DE ITAPEVA</t>
  </si>
  <si>
    <t>SINDICATO DO COMERCIO VAREJISTA DE ITARARÉ E REGIAO</t>
  </si>
  <si>
    <t>60.123.635/0001-08</t>
  </si>
  <si>
    <t xml:space="preserve">SINDICATO DOS EMPREGADOS NO COMÉRCIO DE PRESIDENTE PRUDENTE </t>
  </si>
  <si>
    <t xml:space="preserve">SINDICATO DO COMERCIO VAREJISTA DE PRESIDENTE PRUDENTE </t>
  </si>
  <si>
    <t>48.810.436/0001-72</t>
  </si>
  <si>
    <t>SINDICATO DO COMERCIO VAREJISTA DO ALTO URUGUAI GAUCHO-SINDILOJAS</t>
  </si>
  <si>
    <t>SINDICATO DOS EMPREGADOS NO COMERCIO DE JAÚ</t>
  </si>
  <si>
    <t>54.715.206/0001-73</t>
  </si>
  <si>
    <t xml:space="preserve">SINDICATO DO COMERCIO VAREJISTA DE JAÚ E REGIÃO </t>
  </si>
  <si>
    <t>50.759.661/0001-73</t>
  </si>
  <si>
    <t>SINDICATO DOS EMPREGADOS NO COMERCIO DE ASSAÍ</t>
  </si>
  <si>
    <t>00.864.786/0001-95</t>
  </si>
  <si>
    <t>SINDICATO DO COMERCIO VAREJISTA DE CORNELIO PROCOPIO</t>
  </si>
  <si>
    <t>95.554.101/0001-10</t>
  </si>
  <si>
    <t>04.069.547/0001-02</t>
  </si>
  <si>
    <t>SINDICATO DO COMERCIO VAREJISTA DE APUCARANA</t>
  </si>
  <si>
    <t>SINDICATO DO COMERCIO VAREJISTA DE MARÍLIA - SINCOMERCIO MARILIA</t>
  </si>
  <si>
    <t>50.842.194/0001-40</t>
  </si>
  <si>
    <t>83.929.588/0001- 90</t>
  </si>
  <si>
    <t>SINDICATO DO COMERCIO ATACADISTA E DISTRIBUIDORES DO ESTADO DO PARANA - SINCAPR</t>
  </si>
  <si>
    <t>SINDICATO DOS EMPREGADOS NO COMERCIO DE ASSIS</t>
  </si>
  <si>
    <t xml:space="preserve">SINDICATO DO COMERCIO VAREJISTA DE PALMITAL </t>
  </si>
  <si>
    <t>53.594.669/0001-15</t>
  </si>
  <si>
    <t>SINDICATO  DO COMERCIO VAREJISTA DE OURINHOS - SINCOMERCIO</t>
  </si>
  <si>
    <t>54.710.850/0001-02</t>
  </si>
  <si>
    <t>Sindicato dos Empregados no Comércio de Dracena</t>
  </si>
  <si>
    <t xml:space="preserve"> SINDICATO DOS EMPREGADOS NO COMÉRCIO VAREJISTA, ATACADISTA E AGENTES AUTONOMOS DO COMERCIO DE TUBARAO E REGIAO </t>
  </si>
  <si>
    <t>SINDICATO EMPREGADOS</t>
  </si>
  <si>
    <t>SINDICATO COMÉRCIO</t>
  </si>
  <si>
    <t>CNPJ COMÉRCIO</t>
  </si>
  <si>
    <t>SINDICATO DOS EMPREG NO COM DE ASSIS CHATEAUBRIAND</t>
  </si>
  <si>
    <t xml:space="preserve">SINDICATO EMPREGADOS </t>
  </si>
  <si>
    <t>CNPJ EMPREGADOS</t>
  </si>
  <si>
    <t>CERRO LARGO</t>
  </si>
  <si>
    <t>CANDIDO GODOI</t>
  </si>
  <si>
    <t>PORTO XAVIER</t>
  </si>
  <si>
    <t>TUCUNDUVA</t>
  </si>
  <si>
    <t>TUPARENDI</t>
  </si>
  <si>
    <t>SAO PAULO DAS MISSOES</t>
  </si>
  <si>
    <t>GUARANI DAS MISSOES</t>
  </si>
  <si>
    <t>CRISSIUMAL</t>
  </si>
  <si>
    <t>HORIZONTINA</t>
  </si>
  <si>
    <t>TRES PASSOS</t>
  </si>
  <si>
    <t>BOA VISTA DO BURICA</t>
  </si>
  <si>
    <t>CONSTANTINA</t>
  </si>
  <si>
    <t>TENENTE PORTELA</t>
  </si>
  <si>
    <t>SAO LUIZ GONZAGA</t>
  </si>
  <si>
    <t>TRES DE MAIO</t>
  </si>
  <si>
    <t>PALMEIRA DAS MISSOES</t>
  </si>
  <si>
    <t>SANTO AUGUSTO</t>
  </si>
  <si>
    <t>GIRUA</t>
  </si>
  <si>
    <t>SARANDI</t>
  </si>
  <si>
    <t>CAMPINA DAS MISSOES</t>
  </si>
  <si>
    <t>TAPERA</t>
  </si>
  <si>
    <t>FREDERICO WESTPHALEN</t>
  </si>
  <si>
    <t>DOUTOR MAURICIO CARDOSO</t>
  </si>
  <si>
    <t>IJUI</t>
  </si>
  <si>
    <t>CONCORDIA</t>
  </si>
  <si>
    <t>SAO MARTINHO</t>
  </si>
  <si>
    <t>PANAMBI</t>
  </si>
  <si>
    <t>HUMAITA</t>
  </si>
  <si>
    <t>AJURICABA</t>
  </si>
  <si>
    <t>BOSSOROCA</t>
  </si>
  <si>
    <t>AUGUSTO PESTANA</t>
  </si>
  <si>
    <t>PORTO LUCENA</t>
  </si>
  <si>
    <t>JAGUARI</t>
  </si>
  <si>
    <t>SANTA BARBARA DO SUL</t>
  </si>
  <si>
    <t>IBIRUBA</t>
  </si>
  <si>
    <t>PAROBE</t>
  </si>
  <si>
    <t>CATUIPE</t>
  </si>
  <si>
    <t>CAMAQUA</t>
  </si>
  <si>
    <t>MARAU</t>
  </si>
  <si>
    <t>CAMPO BOM</t>
  </si>
  <si>
    <t>DOM PEDRITO</t>
  </si>
  <si>
    <t>SANTIAGO</t>
  </si>
  <si>
    <t>TUPANCIRETA</t>
  </si>
  <si>
    <t>GUAIBA</t>
  </si>
  <si>
    <t>SAO SEBASTIAO DO CAI</t>
  </si>
  <si>
    <t>NOVA HARTZ</t>
  </si>
  <si>
    <t>ESTANCIA VELHA</t>
  </si>
  <si>
    <t>SAO LOURENCO DO SUL</t>
  </si>
  <si>
    <t>SAO SEPE</t>
  </si>
  <si>
    <t>CACAPAVA DO SUL</t>
  </si>
  <si>
    <t>PORTAO</t>
  </si>
  <si>
    <t>CACEQUI</t>
  </si>
  <si>
    <t>SAO FRANCISCO DE ASSIS</t>
  </si>
  <si>
    <t>CAPAO DA CANOA</t>
  </si>
  <si>
    <t>GARIBALDI</t>
  </si>
  <si>
    <t>ESPUMOSO</t>
  </si>
  <si>
    <t>SANTO ANTONIO DA PATRULHA</t>
  </si>
  <si>
    <t>RESTINGA SECA</t>
  </si>
  <si>
    <t>NOVA PRATA</t>
  </si>
  <si>
    <t>NOVA BASSANO</t>
  </si>
  <si>
    <t>SAO PEDRO DO SUL</t>
  </si>
  <si>
    <t>SAO FRANCISCO DE PAULA</t>
  </si>
  <si>
    <t>TORRES</t>
  </si>
  <si>
    <t>NOVA PETROPOLIS</t>
  </si>
  <si>
    <t>ESTRELA</t>
  </si>
  <si>
    <t>CACHOEIRA DO SUL</t>
  </si>
  <si>
    <t>CANDELARIA</t>
  </si>
  <si>
    <t>SINIMBU</t>
  </si>
  <si>
    <t>VERA CRUZ</t>
  </si>
  <si>
    <t>TAQUARI</t>
  </si>
  <si>
    <t>BUTIA</t>
  </si>
  <si>
    <t>SAO JERONIMO</t>
  </si>
  <si>
    <t>CHARQUEADAS</t>
  </si>
  <si>
    <t>TRIUNFO</t>
  </si>
  <si>
    <t>MINAS DO LEAO</t>
  </si>
  <si>
    <t>PANTANO GRANDE</t>
  </si>
  <si>
    <t>AGUDO</t>
  </si>
  <si>
    <t>ARROIO DO MEIO</t>
  </si>
  <si>
    <t>ENCRUZILHADA DO SUL</t>
  </si>
  <si>
    <t>VENANCIO AIRES</t>
  </si>
  <si>
    <t>ENCANTADO</t>
  </si>
  <si>
    <t>BENTO GONCALVES</t>
  </si>
  <si>
    <t>IMBE</t>
  </si>
  <si>
    <t>SAO VICENTE DO SUL</t>
  </si>
  <si>
    <t>SANTO ANTONIO DAS MISSOES</t>
  </si>
  <si>
    <t>QUARAI</t>
  </si>
  <si>
    <t>TRAMANDAI</t>
  </si>
  <si>
    <t>RIO PARDO</t>
  </si>
  <si>
    <t>SANTO CRISTO</t>
  </si>
  <si>
    <t>IVOTI</t>
  </si>
  <si>
    <t>PIRATINI</t>
  </si>
  <si>
    <t>SOLEDADE</t>
  </si>
  <si>
    <t>ROQUE GONZALES</t>
  </si>
  <si>
    <t>PINHEIRO MACHADO</t>
  </si>
  <si>
    <t>TRES COROAS</t>
  </si>
  <si>
    <t>JAGUARAO</t>
  </si>
  <si>
    <t>ROLANTE</t>
  </si>
  <si>
    <t>JULIO DE CASTILHOS</t>
  </si>
  <si>
    <t>GETULIO VARGAS</t>
  </si>
  <si>
    <t>FLORES DA CUNHA</t>
  </si>
  <si>
    <t>GUAPORE</t>
  </si>
  <si>
    <t>DOIS IRMAOS</t>
  </si>
  <si>
    <t>CACHOEIRINHA</t>
  </si>
  <si>
    <t>MARAVILHA</t>
  </si>
  <si>
    <t>XAXIM</t>
  </si>
  <si>
    <t>IGREJINHA</t>
  </si>
  <si>
    <t>SANANDUVA</t>
  </si>
  <si>
    <t>SANTA VITORIA DO PALMAR</t>
  </si>
  <si>
    <t>SOBRADINHO</t>
  </si>
  <si>
    <t>ARROIO DO TIGRE</t>
  </si>
  <si>
    <t>SAO MARCOS</t>
  </si>
  <si>
    <t>XANXERE</t>
  </si>
  <si>
    <t>NONOAI</t>
  </si>
  <si>
    <t>CACADOR</t>
  </si>
  <si>
    <t>PINHALZINHO</t>
  </si>
  <si>
    <t>VERANOPOLIS</t>
  </si>
  <si>
    <t>UNIAO DA VITORIA</t>
  </si>
  <si>
    <t>CAMPOS NOVOS</t>
  </si>
  <si>
    <t>SAO LOURENCO DO OESTE</t>
  </si>
  <si>
    <t>VIDEIRA</t>
  </si>
  <si>
    <t>CORONEL VIVIDA</t>
  </si>
  <si>
    <t>RONDA ALTA</t>
  </si>
  <si>
    <t>SAO JOAQUIM</t>
  </si>
  <si>
    <t>CAPANEMA</t>
  </si>
  <si>
    <t>FRAIBURGO</t>
  </si>
  <si>
    <t>PEDRO OSORIO</t>
  </si>
  <si>
    <t>QUEDAS DO IGUACU</t>
  </si>
  <si>
    <t>CANOINHAS</t>
  </si>
  <si>
    <t>TUBARAO</t>
  </si>
  <si>
    <t>OTACILIO COSTA</t>
  </si>
  <si>
    <t>JOACABA</t>
  </si>
  <si>
    <t>GUARAPUAVA</t>
  </si>
  <si>
    <t>AMPERE</t>
  </si>
  <si>
    <t>GRAMADO</t>
  </si>
  <si>
    <t>VIAMAO</t>
  </si>
  <si>
    <t>ROSARIO DO SUL</t>
  </si>
  <si>
    <t>ESTEIO</t>
  </si>
  <si>
    <t>MAFRA</t>
  </si>
  <si>
    <t>TAPES</t>
  </si>
  <si>
    <t>ALEGRETE</t>
  </si>
  <si>
    <t>ARVOREZINHA</t>
  </si>
  <si>
    <t>SAO BENTO DO SUL</t>
  </si>
  <si>
    <t>PALMAS</t>
  </si>
  <si>
    <t>SÃO MIGUEL DO OESTE</t>
  </si>
  <si>
    <t>TAIÓ</t>
  </si>
  <si>
    <t>CARLOS BARBOSA</t>
  </si>
  <si>
    <t>CAMPO NOVO</t>
  </si>
  <si>
    <t>CHAPECO</t>
  </si>
  <si>
    <t>INDAIAL</t>
  </si>
  <si>
    <t>CURITIBANOS</t>
  </si>
  <si>
    <t>PALMARES DO SUL</t>
  </si>
  <si>
    <t>SAO GABRIEL</t>
  </si>
  <si>
    <t>ANTONIO PRADO</t>
  </si>
  <si>
    <t>CORREIA PINTO</t>
  </si>
  <si>
    <t>FONTOURA XAVIER</t>
  </si>
  <si>
    <t>DOM FELICIANO</t>
  </si>
  <si>
    <t>ITUPORANGA</t>
  </si>
  <si>
    <t>ERECHIM</t>
  </si>
  <si>
    <t>LAJEADO</t>
  </si>
  <si>
    <t>PORTO ALEGRE</t>
  </si>
  <si>
    <t>BAGE</t>
  </si>
  <si>
    <t>SAPUCAIA DO SUL</t>
  </si>
  <si>
    <t>CARAZINHO</t>
  </si>
  <si>
    <t>BOM JESUS</t>
  </si>
  <si>
    <t>SEBERI</t>
  </si>
  <si>
    <t>URUGUAIANA</t>
  </si>
  <si>
    <t>ROCA SALES</t>
  </si>
  <si>
    <t>PAVERAMA</t>
  </si>
  <si>
    <t>SANTA ROSA</t>
  </si>
  <si>
    <t>SALTO DO JACUI</t>
  </si>
  <si>
    <t>FELIZ</t>
  </si>
  <si>
    <t>SÃO JOSÉ DO OURO</t>
  </si>
  <si>
    <t>ENTRE IJUIS</t>
  </si>
  <si>
    <t>ALVORADA</t>
  </si>
  <si>
    <t>DIONISIO CERQUEIRA</t>
  </si>
  <si>
    <t>SERAFINA CORREA</t>
  </si>
  <si>
    <t>ANTA GORDA</t>
  </si>
  <si>
    <t>BARROS CASSAL</t>
  </si>
  <si>
    <t>SÃO MIGUEL DAS MISSÕES</t>
  </si>
  <si>
    <t>PASSO FUNDO</t>
  </si>
  <si>
    <t>PATO BRANCO</t>
  </si>
  <si>
    <t>SANTO ANTONIO DO SUDOESTE</t>
  </si>
  <si>
    <t>SANTA HELENA</t>
  </si>
  <si>
    <t>CORBÉLIA</t>
  </si>
  <si>
    <t>MANOEL VIANA</t>
  </si>
  <si>
    <t>SAO LEOPOLDO</t>
  </si>
  <si>
    <t>ITAQUI</t>
  </si>
  <si>
    <t>TRES CACHOEIRAS</t>
  </si>
  <si>
    <t>ARARANGUA</t>
  </si>
  <si>
    <t>TERRA DE AREIA</t>
  </si>
  <si>
    <t>CORONEL FREITAS</t>
  </si>
  <si>
    <t>VACARIA</t>
  </si>
  <si>
    <t>SAO JOSE DO NORTE</t>
  </si>
  <si>
    <t>UBIRATA</t>
  </si>
  <si>
    <t>FARROUPILHA</t>
  </si>
  <si>
    <t>SAO BORJA</t>
  </si>
  <si>
    <t>FAXINAL DO SOTURNO</t>
  </si>
  <si>
    <t>SANTANA DO LIVRAMENTO</t>
  </si>
  <si>
    <t>GRAVATAI</t>
  </si>
  <si>
    <t>GUAÍBA</t>
  </si>
  <si>
    <t>REALEZA</t>
  </si>
  <si>
    <t>SANTANA DA BOA VISTA</t>
  </si>
  <si>
    <t>SAO LUDGERO</t>
  </si>
  <si>
    <t>CANDOI</t>
  </si>
  <si>
    <t>PINHAO</t>
  </si>
  <si>
    <t>PARAI</t>
  </si>
  <si>
    <t>MARMELEIRO</t>
  </si>
  <si>
    <t>DOIS VIZINHOS</t>
  </si>
  <si>
    <t>MOSTARDA</t>
  </si>
  <si>
    <t>LAGES</t>
  </si>
  <si>
    <t>CANOAS</t>
  </si>
  <si>
    <t>RIO GRANDE</t>
  </si>
  <si>
    <t>GUAÍRA</t>
  </si>
  <si>
    <t>PAPANDUVA</t>
  </si>
  <si>
    <t>AMETISTA DO SUL</t>
  </si>
  <si>
    <t>POUSO REDONDO</t>
  </si>
  <si>
    <t>CAIBATE</t>
  </si>
  <si>
    <t>MANGUEIRINHA</t>
  </si>
  <si>
    <t>CLEVELÂNDIA</t>
  </si>
  <si>
    <t>RIO DO SUL</t>
  </si>
  <si>
    <t>SALTO DO LONTRA</t>
  </si>
  <si>
    <t>PALMITINHO</t>
  </si>
  <si>
    <t>MARECHAL CANDIDO RONDON</t>
  </si>
  <si>
    <t>ARROIO DO SAL</t>
  </si>
  <si>
    <t>ALECRIM</t>
  </si>
  <si>
    <t>GENERAL CAMARA</t>
  </si>
  <si>
    <t>ORLEANS</t>
  </si>
  <si>
    <t>FAXINAL DO GUEDES</t>
  </si>
  <si>
    <t>SÃO JOSÉ DO CEDRO</t>
  </si>
  <si>
    <t>CORONEL BICACO</t>
  </si>
  <si>
    <t>GUARAMIRIM</t>
  </si>
  <si>
    <t>CANTAGALO</t>
  </si>
  <si>
    <t>SANTA CRUZ DO SUL</t>
  </si>
  <si>
    <t>TIMBÓ</t>
  </si>
  <si>
    <t>SANTO ANGELO</t>
  </si>
  <si>
    <t>CRUZEIRO DO OESTE</t>
  </si>
  <si>
    <t>NOVA TRENTO</t>
  </si>
  <si>
    <t>RODEIO BONITO</t>
  </si>
  <si>
    <t>AGROLANDIA</t>
  </si>
  <si>
    <t>ASSIS CHATEAUBRIAND</t>
  </si>
  <si>
    <t>ALTONIA</t>
  </si>
  <si>
    <t>GASPAR</t>
  </si>
  <si>
    <t>ITAPEJARA DO OESTE</t>
  </si>
  <si>
    <t>CHAPADA</t>
  </si>
  <si>
    <t>CONDOR</t>
  </si>
  <si>
    <t>RODEIO</t>
  </si>
  <si>
    <t>CORUPÁ</t>
  </si>
  <si>
    <t>NOVA SANTA RITA</t>
  </si>
  <si>
    <t>SEARA</t>
  </si>
  <si>
    <t>SÃO MIGUEL DO IGUAÇU</t>
  </si>
  <si>
    <t>JOIA</t>
  </si>
  <si>
    <t>RIO NEGRINHO</t>
  </si>
  <si>
    <t>PLANALTO</t>
  </si>
  <si>
    <t>SANTA CLARA DO SUL</t>
  </si>
  <si>
    <t>IBIRAIARAS</t>
  </si>
  <si>
    <t>SANTA CECÍLIA</t>
  </si>
  <si>
    <t>URUSSANGA</t>
  </si>
  <si>
    <t>ARROIO DOS RATOS</t>
  </si>
  <si>
    <t>MONTENEGRO</t>
  </si>
  <si>
    <t>GOIOERÊ</t>
  </si>
  <si>
    <t>SÃO MATEUS DO SUL</t>
  </si>
  <si>
    <t>LARANJEIRAS DO SUL</t>
  </si>
  <si>
    <t>PARAISO DO NORTE</t>
  </si>
  <si>
    <t>TAQUARA</t>
  </si>
  <si>
    <t>ABELARDO LUZ</t>
  </si>
  <si>
    <t>ELDORADO</t>
  </si>
  <si>
    <t>ITAIOPOLIS</t>
  </si>
  <si>
    <t>CAPIVARI DE BAIXO</t>
  </si>
  <si>
    <t>SALVADOR DO SUL</t>
  </si>
  <si>
    <t>SÃO SEPE</t>
  </si>
  <si>
    <t>MEDIANEIRA</t>
  </si>
  <si>
    <t>CAMBARA DO SUL</t>
  </si>
  <si>
    <t>NOVA LONDRINA</t>
  </si>
  <si>
    <t>UMUARAMA</t>
  </si>
  <si>
    <t>CIDREIRA</t>
  </si>
  <si>
    <t>BRAÇO DO NORTE</t>
  </si>
  <si>
    <t>CAFELÂNDIA</t>
  </si>
  <si>
    <t>BARRA DO RIBEIRO</t>
  </si>
  <si>
    <t>CASCA</t>
  </si>
  <si>
    <t>PEROLA</t>
  </si>
  <si>
    <t>PARANAVAI</t>
  </si>
  <si>
    <t>ORTIGUEIRA</t>
  </si>
  <si>
    <t>CIANORTE</t>
  </si>
  <si>
    <t>TOLEDO</t>
  </si>
  <si>
    <t>NOVO HAMBURGO</t>
  </si>
  <si>
    <t>TURVO</t>
  </si>
  <si>
    <t>CRISTAL</t>
  </si>
  <si>
    <t>CAMPO MOURÃO</t>
  </si>
  <si>
    <t>CANGUCU</t>
  </si>
  <si>
    <t>CURIUVA</t>
  </si>
  <si>
    <t>CRUZEIRO DO SUL</t>
  </si>
  <si>
    <t>LAVRAS DO SUL</t>
  </si>
  <si>
    <t>QUILOMBO</t>
  </si>
  <si>
    <t>PRUDENTÓPOLIS</t>
  </si>
  <si>
    <t>CHOPINZINHO</t>
  </si>
  <si>
    <t>SÃO LEOPOLDO</t>
  </si>
  <si>
    <t>SIDERÓPOLIS</t>
  </si>
  <si>
    <t>PALMITOS</t>
  </si>
  <si>
    <t>IRINEÓPOLIS</t>
  </si>
  <si>
    <t>CAPITÃO LEONIDAS MARQUES</t>
  </si>
  <si>
    <t>RIO NEGRO</t>
  </si>
  <si>
    <t>MUNDO NOVO</t>
  </si>
  <si>
    <t>GENERAL CARNEIRO</t>
  </si>
  <si>
    <t>MORRO DA FUMAÇA</t>
  </si>
  <si>
    <t>BARBOSA FERRAZ</t>
  </si>
  <si>
    <t>TEUTONIA</t>
  </si>
  <si>
    <t>ALFREDO WAGNER</t>
  </si>
  <si>
    <t>CANGUÇU</t>
  </si>
  <si>
    <t>JAGUARUNA</t>
  </si>
  <si>
    <t>FRANCISCO BELTRAO</t>
  </si>
  <si>
    <t>CORBÉLIA CD5</t>
  </si>
  <si>
    <t>PITANGA</t>
  </si>
  <si>
    <t>AGUDOS DO SUL</t>
  </si>
  <si>
    <t>SÃO NICOLAU</t>
  </si>
  <si>
    <t>CUNHA PORÃ</t>
  </si>
  <si>
    <t>TUBARÃO</t>
  </si>
  <si>
    <t>OSORIO</t>
  </si>
  <si>
    <t>ASTORGA</t>
  </si>
  <si>
    <t>SANTA TEREZINHA DE ITAIPÚ</t>
  </si>
  <si>
    <t>SAPIRANGA CD6</t>
  </si>
  <si>
    <t>IBAITI</t>
  </si>
  <si>
    <t>NOVA LARANJEIRAS</t>
  </si>
  <si>
    <t>SÃO CARLOS</t>
  </si>
  <si>
    <t>PAIÇANDU</t>
  </si>
  <si>
    <t>IPORÃ</t>
  </si>
  <si>
    <t>SÃO JOÃO DO IVAÍ</t>
  </si>
  <si>
    <t>SÃO JOSÉ DO CERRITO</t>
  </si>
  <si>
    <t>IBIPORÃ</t>
  </si>
  <si>
    <t>SANTA IZABEL DO OESTE</t>
  </si>
  <si>
    <t>CANELA</t>
  </si>
  <si>
    <t>SOMBRIO</t>
  </si>
  <si>
    <t>ALTO PARANÁ</t>
  </si>
  <si>
    <t>ALVORADA DO SUL</t>
  </si>
  <si>
    <t>CASTRO</t>
  </si>
  <si>
    <t>NOVA PRATA DO IGUAÇU</t>
  </si>
  <si>
    <t>CAMPINA DA LAGOA</t>
  </si>
  <si>
    <t>PROGRESSO</t>
  </si>
  <si>
    <t>BOQUEIRÃO DO LEÃO</t>
  </si>
  <si>
    <t>PARANACITY</t>
  </si>
  <si>
    <t>TELÊMACO BORBA</t>
  </si>
  <si>
    <t>TAPEJARA</t>
  </si>
  <si>
    <t>SANTO ANTONIO DA PLATINA</t>
  </si>
  <si>
    <t>CRICIUMA</t>
  </si>
  <si>
    <t>PALMEIRA</t>
  </si>
  <si>
    <t>PRESIDENTE EPITÁCIO</t>
  </si>
  <si>
    <t>IVAI</t>
  </si>
  <si>
    <t>MISSAL</t>
  </si>
  <si>
    <t>SANTA MARIA</t>
  </si>
  <si>
    <t>ROLANDIA</t>
  </si>
  <si>
    <t>ERVAL SECO</t>
  </si>
  <si>
    <t>TERRA ROXA</t>
  </si>
  <si>
    <t>OSVALDO CRUZ</t>
  </si>
  <si>
    <t>RONCADOR</t>
  </si>
  <si>
    <t>SAPIRANGA</t>
  </si>
  <si>
    <t>FORQUILHINHA</t>
  </si>
  <si>
    <t>JUNQUEIRÓPOLIS</t>
  </si>
  <si>
    <t>IMBITUVA</t>
  </si>
  <si>
    <t>IPORÃ DO OESTE</t>
  </si>
  <si>
    <t>IBIRAMA</t>
  </si>
  <si>
    <t>TAGUAI</t>
  </si>
  <si>
    <t>BASTOS</t>
  </si>
  <si>
    <t>CAARAPÓ</t>
  </si>
  <si>
    <t>NOVA VENEZA</t>
  </si>
  <si>
    <t>MANDAGUARI</t>
  </si>
  <si>
    <t>LOANDA</t>
  </si>
  <si>
    <t>CRUZ MACHADO</t>
  </si>
  <si>
    <t>POMERODE</t>
  </si>
  <si>
    <t>PIRAPOZINHO</t>
  </si>
  <si>
    <t>JOAQUIM TAVORA</t>
  </si>
  <si>
    <t>URUBICI</t>
  </si>
  <si>
    <t>CASCAVEL</t>
  </si>
  <si>
    <t>GUARANIAÇU</t>
  </si>
  <si>
    <t>BARÃO DE COTEGIPE</t>
  </si>
  <si>
    <t>JACINTO MACHADO</t>
  </si>
  <si>
    <t>ARAPOTI</t>
  </si>
  <si>
    <t>ITAQUIRAI</t>
  </si>
  <si>
    <t>BELA VISTA DO PARAÍSO</t>
  </si>
  <si>
    <t>FÁTIMA DO SUL</t>
  </si>
  <si>
    <t>MANOEL RIBAS</t>
  </si>
  <si>
    <t>IGARAÇU DO TIETE</t>
  </si>
  <si>
    <t>IVINHEMA</t>
  </si>
  <si>
    <t>JOAÇABA</t>
  </si>
  <si>
    <t>INACIO MARTINS</t>
  </si>
  <si>
    <t>TERRA RICA</t>
  </si>
  <si>
    <t>ASSAI</t>
  </si>
  <si>
    <t>MONTE CASTELO</t>
  </si>
  <si>
    <t>PIRAÍ DO SUL</t>
  </si>
  <si>
    <t>AMAMBAI</t>
  </si>
  <si>
    <t>MONDAÍ</t>
  </si>
  <si>
    <t>RESERVA</t>
  </si>
  <si>
    <t>CORNÉLIO PROCÓPIO</t>
  </si>
  <si>
    <t>NOVA ANDRADINA</t>
  </si>
  <si>
    <t>CAMBÉ</t>
  </si>
  <si>
    <t>SIQUEIRA CAMPOS</t>
  </si>
  <si>
    <t>SERTANÓPOLIS</t>
  </si>
  <si>
    <t>SÃO JOÃO</t>
  </si>
  <si>
    <t>URAÍ</t>
  </si>
  <si>
    <t>SANTA MARIA DO OESTE</t>
  </si>
  <si>
    <t>PRESIDENTE VENCESLAU</t>
  </si>
  <si>
    <t>PANORAMA</t>
  </si>
  <si>
    <t>FOZ DO IGUAÇU</t>
  </si>
  <si>
    <t>DESCANSO</t>
  </si>
  <si>
    <t>ARROIO GRANDE</t>
  </si>
  <si>
    <t>QUITANDINHA</t>
  </si>
  <si>
    <t>PALMITAL</t>
  </si>
  <si>
    <t>CAXIAS DO SUL</t>
  </si>
  <si>
    <t>LAGOA VERMELHA</t>
  </si>
  <si>
    <t>PELOTAS</t>
  </si>
  <si>
    <t>CRUZ ALTA</t>
  </si>
  <si>
    <t>CIDADE</t>
  </si>
  <si>
    <t xml:space="preserve"> GUARACIABA</t>
  </si>
  <si>
    <t xml:space="preserve"> RIO AZUL</t>
  </si>
  <si>
    <t xml:space="preserve"> ARAPONGAS</t>
  </si>
  <si>
    <t xml:space="preserve"> PONTE SERRADA</t>
  </si>
  <si>
    <t xml:space="preserve"> LEBON REGIS</t>
  </si>
  <si>
    <t xml:space="preserve"> REBOUÇAS</t>
  </si>
  <si>
    <t xml:space="preserve"> TIBAGI</t>
  </si>
  <si>
    <t xml:space="preserve"> BOM RETIRO DO SUL</t>
  </si>
  <si>
    <t xml:space="preserve"> HERVAL D'OESTE</t>
  </si>
  <si>
    <t xml:space="preserve"> TRÊS BARRAS</t>
  </si>
  <si>
    <t xml:space="preserve"> CASCAVEL</t>
  </si>
  <si>
    <t xml:space="preserve"> QUERENCIA DO NORTE</t>
  </si>
  <si>
    <t xml:space="preserve"> CIDADE GAUCHA</t>
  </si>
  <si>
    <t xml:space="preserve"> LAPA</t>
  </si>
  <si>
    <t xml:space="preserve"> MALLET</t>
  </si>
  <si>
    <t xml:space="preserve"> NOVA AURORA</t>
  </si>
  <si>
    <t xml:space="preserve"> ITAPIRANGA</t>
  </si>
  <si>
    <t xml:space="preserve"> NAVIRAÍ</t>
  </si>
  <si>
    <t xml:space="preserve"> CAPELA DE SANTANA</t>
  </si>
  <si>
    <t xml:space="preserve"> IRANI</t>
  </si>
  <si>
    <t xml:space="preserve"> JURANDA</t>
  </si>
  <si>
    <t xml:space="preserve"> TUPI PAULISTA</t>
  </si>
  <si>
    <t xml:space="preserve"> GAURAMA</t>
  </si>
  <si>
    <t xml:space="preserve"> JAPURÁ</t>
  </si>
  <si>
    <t xml:space="preserve"> FOZ DO IGUAÇU</t>
  </si>
  <si>
    <t xml:space="preserve"> CÂNDIDO DE ABREU</t>
  </si>
  <si>
    <t xml:space="preserve"> SANTA CRUZ DE MONTE CASTELO</t>
  </si>
  <si>
    <t xml:space="preserve"> CALIFÓRNIA</t>
  </si>
  <si>
    <t xml:space="preserve"> SANTA FÉ</t>
  </si>
  <si>
    <t xml:space="preserve"> SENGÉS</t>
  </si>
  <si>
    <t xml:space="preserve"> GARÇA</t>
  </si>
  <si>
    <t xml:space="preserve"> ENGENHEIRO BELTRÃO</t>
  </si>
  <si>
    <t xml:space="preserve"> MATELÂNDIA</t>
  </si>
  <si>
    <t xml:space="preserve"> NOVA SANTA ROSA</t>
  </si>
  <si>
    <t xml:space="preserve"> WENCESLAU</t>
  </si>
  <si>
    <t xml:space="preserve"> IÇARA</t>
  </si>
  <si>
    <t xml:space="preserve"> PEABIRU</t>
  </si>
  <si>
    <t xml:space="preserve"> PRIMEIRO DE MAIO</t>
  </si>
  <si>
    <t xml:space="preserve"> SERTÃO SANTANA</t>
  </si>
  <si>
    <t xml:space="preserve"> ARARUNA</t>
  </si>
  <si>
    <t xml:space="preserve"> BOM RETIRO</t>
  </si>
  <si>
    <t xml:space="preserve"> DEODÁPOLIS</t>
  </si>
  <si>
    <t xml:space="preserve"> MOREIRA SALES</t>
  </si>
  <si>
    <t xml:space="preserve"> TIJUCAS DO SUL</t>
  </si>
  <si>
    <t xml:space="preserve">  BROCHIER</t>
  </si>
  <si>
    <t xml:space="preserve"> BOM PRINCÍPIO</t>
  </si>
  <si>
    <t xml:space="preserve"> BATAGUASSU</t>
  </si>
  <si>
    <t xml:space="preserve"> TUPÃSSI</t>
  </si>
  <si>
    <t xml:space="preserve"> CAMBIRA</t>
  </si>
  <si>
    <t xml:space="preserve"> FLORESTÓPOLIS</t>
  </si>
  <si>
    <t xml:space="preserve"> PARAISO DO SUL</t>
  </si>
  <si>
    <t xml:space="preserve"> ITAIPULÂNDIA</t>
  </si>
  <si>
    <t xml:space="preserve"> TRÊS BARRAS DO PARANÁ</t>
  </si>
  <si>
    <t xml:space="preserve"> PALMITAL</t>
  </si>
  <si>
    <t xml:space="preserve"> IPIRANGA</t>
  </si>
  <si>
    <t xml:space="preserve"> VALE DO SOL</t>
  </si>
  <si>
    <t xml:space="preserve"> ÁGUA DOCE</t>
  </si>
  <si>
    <t xml:space="preserve"> PIRAJUÍ</t>
  </si>
  <si>
    <t xml:space="preserve"> CAPINZAL</t>
  </si>
  <si>
    <t xml:space="preserve"> JESUÍTAS</t>
  </si>
  <si>
    <t xml:space="preserve"> CENTENÁRIO DO SUL</t>
  </si>
  <si>
    <t xml:space="preserve"> AGUDOS</t>
  </si>
  <si>
    <t xml:space="preserve"> CANDIOTA</t>
  </si>
  <si>
    <t xml:space="preserve"> DOURADINA</t>
  </si>
  <si>
    <t xml:space="preserve"> ABATIA</t>
  </si>
  <si>
    <t xml:space="preserve"> MONTE CARLO</t>
  </si>
  <si>
    <t xml:space="preserve"> MIRANTE DO PARANAPANEMA</t>
  </si>
  <si>
    <t xml:space="preserve"> CAXIAS DO SUL</t>
  </si>
  <si>
    <t xml:space="preserve"> RIBEIRÃO DO PINHAL</t>
  </si>
  <si>
    <t xml:space="preserve"> TEODORO SAMPAIO</t>
  </si>
  <si>
    <t xml:space="preserve"> LAGOA VERMELHA</t>
  </si>
  <si>
    <t xml:space="preserve"> PELOTAS</t>
  </si>
  <si>
    <t xml:space="preserve"> IMBAÚ</t>
  </si>
  <si>
    <t xml:space="preserve"> SÃO JORGE D'OESTE</t>
  </si>
  <si>
    <t xml:space="preserve"> BALNEÁRIO PINHAL</t>
  </si>
  <si>
    <t xml:space="preserve"> TERRA BOA</t>
  </si>
  <si>
    <t xml:space="preserve"> NOVA ESPERANÇA</t>
  </si>
  <si>
    <t xml:space="preserve"> CRUZ ALTA</t>
  </si>
  <si>
    <t xml:space="preserve"> TIRADENTES DO SUL</t>
  </si>
  <si>
    <t xml:space="preserve"> CONGONHINHAS</t>
  </si>
  <si>
    <t xml:space="preserve"> RIO BONITO DO IGUAÇU</t>
  </si>
  <si>
    <t xml:space="preserve"> TRÊS LAGOAS</t>
  </si>
  <si>
    <t xml:space="preserve"> FAXINAL</t>
  </si>
  <si>
    <t xml:space="preserve"> IPAUSSU</t>
  </si>
  <si>
    <t xml:space="preserve"> ITAPORÃ</t>
  </si>
  <si>
    <t xml:space="preserve"> SANTA ROSA </t>
  </si>
  <si>
    <t xml:space="preserve"> ANITA GARIBALDI</t>
  </si>
  <si>
    <t>NÃO-ME-TOQUE</t>
  </si>
  <si>
    <t>TEIXEIRA SOARES</t>
  </si>
  <si>
    <t>SANTO CRISTO (ASSISTEC)</t>
  </si>
  <si>
    <t>OSORIO DEPOSITO</t>
  </si>
  <si>
    <t>CORBELIA ASSISTEC</t>
  </si>
  <si>
    <t>SÃO BORJA DEPOSITO</t>
  </si>
  <si>
    <t/>
  </si>
  <si>
    <t>SINDICATO DOS EMPREGADOS NO COMERCIO DE CAMPO MOURAO E REGIAO</t>
  </si>
  <si>
    <t>CÉU AZUL</t>
  </si>
  <si>
    <t>IRETAMA</t>
  </si>
  <si>
    <t>PEROBAL</t>
  </si>
  <si>
    <t xml:space="preserve">BOA VISTA DA APARECIDA </t>
  </si>
  <si>
    <t>NOVA ALVORADA DO SUL</t>
  </si>
  <si>
    <t>FORMOSA DO OESTE</t>
  </si>
  <si>
    <t>IPIRA</t>
  </si>
  <si>
    <t>CÓD. SIND.</t>
  </si>
  <si>
    <t>Data-Base</t>
  </si>
  <si>
    <t>QUEBRA DE CAIXA</t>
  </si>
  <si>
    <t>FECHADA</t>
  </si>
  <si>
    <t>10% do piso</t>
  </si>
  <si>
    <t>15% do piso, obs: Admitidos após 01/2003 será 12%</t>
  </si>
  <si>
    <t>3% sobre o piso/ De 2008 até 2022 3% sobre o salário fixo + variável caso haja</t>
  </si>
  <si>
    <t>10% do salário</t>
  </si>
  <si>
    <t>2% remuneração</t>
  </si>
  <si>
    <t>Quinquenio: até 05/2022 - 2%; a partir de 05/2022 - 1% (sobre remuneração)</t>
  </si>
  <si>
    <t>5% por quinquênio do salário, condicionada a contribuição sindical</t>
  </si>
  <si>
    <t>10% do salário profissional</t>
  </si>
  <si>
    <t>30% sobre o salário mínimo nacional.</t>
  </si>
  <si>
    <t>15% SALÁRIO</t>
  </si>
  <si>
    <t>valor fixo R$ 339,15</t>
  </si>
  <si>
    <t>15% DO PISO</t>
  </si>
  <si>
    <t>20% sobre o salario minimo</t>
  </si>
  <si>
    <t>10% do salário percebido</t>
  </si>
  <si>
    <t>12% da remuneração</t>
  </si>
  <si>
    <t>10% da remuneração</t>
  </si>
  <si>
    <t>trienio 3% + 1% a cada ano sobre salário perebido</t>
  </si>
  <si>
    <t>nada consta</t>
  </si>
  <si>
    <t>5% a cada 5 anos sobre salario percebido completados até 28/02/1995, posterior 2% sobre salário percebido</t>
  </si>
  <si>
    <t>10% DO PISO</t>
  </si>
  <si>
    <t>Até maio/2022 2% por quinquênio - À partir de maio/2022 1% por quinquênio sobre a remuneração *Comissionado mês a mês que fizer jus.</t>
  </si>
  <si>
    <t>VALOR FIXO 163,32 POR QUINQ E 48,98 POR TRIÊNIO</t>
  </si>
  <si>
    <t>12% do piso</t>
  </si>
  <si>
    <t>10% sobre o piso</t>
  </si>
  <si>
    <t>1% a cada 3 anos; 3% a cada 5 anos, sob salário percebido</t>
  </si>
  <si>
    <t>15% do salário percebido, adm a partir de 01/2003 12%</t>
  </si>
  <si>
    <t>6% remuneração</t>
  </si>
  <si>
    <t>10% do PISO</t>
  </si>
  <si>
    <t>3% por triênio +1% p/ cada ano que passar</t>
  </si>
  <si>
    <t>10% quebra de caixa</t>
  </si>
  <si>
    <t>5% a cada 5a sobre o salário, limitado a 4 quinquênios</t>
  </si>
  <si>
    <t>10% sobre a remuneração</t>
  </si>
  <si>
    <t>164 fixo a cada 5a e 41 a cada 3a</t>
  </si>
  <si>
    <t>20% do piso</t>
  </si>
  <si>
    <t>Valor fixo: R$ 316,05</t>
  </si>
  <si>
    <t>R$169 fixo a cada 5a e R$42,50 a cada 3a</t>
  </si>
  <si>
    <t>25% do piso</t>
  </si>
  <si>
    <t>triênio: 1,5%, quinquenio: 5%, não comulativos (tabela na cct)</t>
  </si>
  <si>
    <t>NÃO POSSUI (tolerância mensal máxima de 10% do piso)</t>
  </si>
  <si>
    <t>13% SALÁRIO NORMATIVO</t>
  </si>
  <si>
    <t>5% do piso</t>
  </si>
  <si>
    <t>Valor fixo:R$192,00</t>
  </si>
  <si>
    <t xml:space="preserve"> Valor fixo 368,00</t>
  </si>
  <si>
    <t>20% do salário minimo</t>
  </si>
  <si>
    <t>Abono de 367,00</t>
  </si>
  <si>
    <t>Valor fixo: 178,00</t>
  </si>
  <si>
    <t>30% do piso</t>
  </si>
  <si>
    <t>10% do Piso</t>
  </si>
  <si>
    <t>10% Do piso</t>
  </si>
  <si>
    <t xml:space="preserve">25% do piso </t>
  </si>
  <si>
    <t>15% do piso</t>
  </si>
  <si>
    <t>Valor fixo de R$178,00</t>
  </si>
  <si>
    <t>Valor fixo: R$150,00</t>
  </si>
  <si>
    <t>5% sobre o salário</t>
  </si>
  <si>
    <t>5% sobre a remuneração</t>
  </si>
  <si>
    <t>5% do salário</t>
  </si>
  <si>
    <t>25% do salário</t>
  </si>
  <si>
    <t>NÃO POSSUI</t>
  </si>
  <si>
    <t>Valor fixo: 49,68</t>
  </si>
  <si>
    <t>Valor fixo: 103,18</t>
  </si>
  <si>
    <t>Valor fixo de 110,00 no mês que houver ocorrência</t>
  </si>
  <si>
    <t>valor fixo 108,15</t>
  </si>
  <si>
    <t>Valor fixo 97,00</t>
  </si>
  <si>
    <t>13% sobre a remuneração</t>
  </si>
  <si>
    <t>Valor fixo de R$ 97,02 no mês que houver ocorrencia</t>
  </si>
  <si>
    <t xml:space="preserve">Valor fixo de R$ 89,00 </t>
  </si>
  <si>
    <t>Valor fixo R$ 97,00</t>
  </si>
  <si>
    <t xml:space="preserve">valor fixo: 97,02 no mês que houver ocorrência </t>
  </si>
  <si>
    <t>Valor Fixo R$92,00</t>
  </si>
  <si>
    <t>Valor fixo: 93,00</t>
  </si>
  <si>
    <t>0.5%</t>
  </si>
  <si>
    <t>3 ANOS ATS</t>
  </si>
  <si>
    <t>5 ANOS ATS</t>
  </si>
  <si>
    <t>10 ANOS ATS</t>
  </si>
  <si>
    <t>15 ANOS ATS</t>
  </si>
  <si>
    <t>20 ANOS ATS</t>
  </si>
  <si>
    <t>OBSERVAÇÃO</t>
  </si>
  <si>
    <t>AUXÍLIO CRECHE</t>
  </si>
  <si>
    <t>6 ANOS / 10% DO SAL. NORMATIVO DA CATEGORIA</t>
  </si>
  <si>
    <t>5 ANOS / 5% DO SAL. NORMATIVO DA CATEGORIA</t>
  </si>
  <si>
    <t>OBSERVAÇÃO ATS</t>
  </si>
  <si>
    <t>6 ANOS / 10% DO SAL. MÍNIMO DA CATEGORIA</t>
  </si>
  <si>
    <t>2 dias de rem. de cada empregado / base de calc. 2 parcelas de R$59,10</t>
  </si>
  <si>
    <t>5% da folha de setembro</t>
  </si>
  <si>
    <t>2% do salário no meses jan, jun e set</t>
  </si>
  <si>
    <t>3% da folha de pagamento de novembro/2023 e junho/2024</t>
  </si>
  <si>
    <t>2 dias de rem. de cada empregado (descontado em agosto e setembro) / base de calc. para desconto 2 parcelas de R$59,10</t>
  </si>
  <si>
    <t>2 dias de rem. de cada empregado (descontado em abril e maio de 2024)</t>
  </si>
  <si>
    <t>02 (dois) dias de trabalho, por empregado, por ano convencionado</t>
  </si>
  <si>
    <t>2 dias de rem. de cada empregado (descontado em julho e agosto de 2024)</t>
  </si>
  <si>
    <t>2 dias de salário no mês de setembro de 2024</t>
  </si>
  <si>
    <t>1 dia de rem. de cada empregado (descontado em abril de 2024)</t>
  </si>
  <si>
    <t>1.5 dia de rem. de setembro/2024 (limitado ao valor de R$97,00), 1 dia de rem. de novembro/2024 (limitado ao valor de R$66,00), 1 dia de rem. de janeiro/2025 (limitado ao valor de R$66,00)</t>
  </si>
  <si>
    <t>2 dias de salário de todos os empregados</t>
  </si>
  <si>
    <t>1 dia de rem. de cada empregado (descontado em setembro de 2024)</t>
  </si>
  <si>
    <t>2 parcelas: sendo a primeira 2 dias de salário do mês de outubro/2024 e a segunda 2 dias de novembro/2024</t>
  </si>
  <si>
    <t>1 dia de salário de setembro/2024</t>
  </si>
  <si>
    <t>CONTRIBUIÇÃO EMPREGADOS</t>
  </si>
  <si>
    <t xml:space="preserve">2 dias de rem. de cada empregado </t>
  </si>
  <si>
    <t>2 dias de salário referente ao ano de 2024 / mínimo de R$ 242,00</t>
  </si>
  <si>
    <t>4% do salário no meses de JULHO/2023, SETEMBRO/2023 e JANEIRO/2024</t>
  </si>
  <si>
    <t>CONTRIBUIÇÃO PATRONAL</t>
  </si>
  <si>
    <t>02 (dois) dias de salário, sendo 1 (um) dia de salário do mês de MAIO/2024 e 1 (um) dia de salário do mês de NOVEMBRO/2024</t>
  </si>
  <si>
    <t>2 (duas) parcelas, sendo a primeira parcela de 2 (dois) dias de salário do mês de junho/2024, de todos os seus empregados, até o dia 15 (quinze) de JULHO/2024 e a segunda parcela de iguais 2 (dois) dias de salário do mês de AGOSTO/2024, de todos os seus empregados, até o dia 10 (dez) de SETEMBRO de 2024.</t>
  </si>
  <si>
    <t>desconto de R$ 60,00 de cada empregado</t>
  </si>
  <si>
    <t>1 dia de salário da folha de pagamento de outubro/2024</t>
  </si>
  <si>
    <t xml:space="preserve">Primeira parcela: 1 (um) dia de salário de todos os empregados, referente ao mês de março de 2023, recolhendo até o 15 de setembro de 2024. Segunda parcela: 1 (um) dia de salário de todos os empregados, referente ao mês de junho de 2024, recolhendo até o 16 de novembro de 2024. </t>
  </si>
  <si>
    <t>Julho de 2024: 4% sobre o Piso da categoria. Agosto de 2024: 4% sobre o Piso da categoria. Setembro de 2024: 4% sobre o Piso da categoria.</t>
  </si>
  <si>
    <t>Agosto de 2024: 1 (um) dia da remuneração do salário do empregado, com pagamento até o dia 05/09/2024. Outubro de 2024: 1 (um) dia da remuneração do salário do empregado, com pagamento até o dia 05/11/2024.</t>
  </si>
  <si>
    <t xml:space="preserve"> Valor total: R$ 440,00 (quatrocentos e quarenta reais) para cada empresa. Parcelamento: O valor será dividido em 4 parcelas de R$ 110,00 cada. Primeira parcela: até o dia 10 de setembro de 2024. Demais parcelas: até o dia 10 de cada mês subsequente. Penalidade pelo não recolhimento: Multa de 2% sobre o valor devido, mais juros de 1% ao mês.</t>
  </si>
  <si>
    <t>Um dia referente ao mês de abril de 2024. Um dia referente ao mês de maio de 2024.</t>
  </si>
  <si>
    <t>1 dia de salário de setembro/2024 e 1 dia de salário de novembro/2024</t>
  </si>
  <si>
    <t>1% do salário efetivamente percebido pelos empregados.</t>
  </si>
  <si>
    <t>Equivalente a um 1 de trabalho do salário mínimo profissional da categoria dos empregados, referente ao mês de Agosto.</t>
  </si>
  <si>
    <t>1 dia de salário reajustado</t>
  </si>
  <si>
    <t>R$ 440,00, dividido em 4 parcelas de R$ 110,00 cada  
Primeira Parcela: Até o 15 de agosto de 2023.
Segunda Parcela: Até o 15 de setembro de 2023.
Terceira Parcela: Até o 16 de outubro de 2023.
Quarta Parcela: Até o 15 de novembro de 2023.</t>
  </si>
  <si>
    <t>4% (quatro por cento) do salário efetivamente percebido pelos empregados no meses de OUTUBRO/2024</t>
  </si>
  <si>
    <t>02 (dois) dias de salário de todos os seus empregados</t>
  </si>
  <si>
    <t>4% do Piso da categoria do mês de agosto de 2024.
4% do Piso da categoria do mês de setembro de 2024.
4% do Piso da categoria do mês de outubro de 2024.</t>
  </si>
  <si>
    <t>4 dias de salário de todos os empregados</t>
  </si>
  <si>
    <t>QQ</t>
  </si>
  <si>
    <t>4% (quatro inteiros por cento) da remuneração dos mesmos nos meses de Novembro de 2023 e Julho de 2024</t>
  </si>
  <si>
    <t>Primeira Parcela: Valor equivalente a 1/15 do total da remuneração da folha de salários de novembro de 2023, com um valor mínimo de R$ 233,00, a ser pago até 25/05/2024. Segunda Parcela: Valor equivalente a 1/15 do total da remuneração da folha de salários de janeiro de 2024, com um valor mínimo de R$ 233,00, a ser pago até 25/07/2024.</t>
  </si>
  <si>
    <t>O valor correspondente a 1(um) dia de salário, limitado ao valor de R$ 100,00 (cem reais) no mês de novembro/2023</t>
  </si>
  <si>
    <t>Desconto mensal de 1,5% do piso profissional geral da categoria, com recolhimento até o 10º dia do mês subsequente ao desconto.</t>
  </si>
  <si>
    <t>As empresas devem recolher 6% da folha de pagamento de seus empregados para o mês de outubro de 2024, com valor mínimo de R$ 240,00.</t>
  </si>
  <si>
    <t>1,5 (um e meio) dia de salário de todos os seus empregados beneficiados ou não pela presente convenção, recolhendo tais importâncias ao Sindicato do Comércio Varejista de Santiago até o dia 15 de Janeiro de 2025</t>
  </si>
  <si>
    <t>01 (um) dia do piso da categoria no mês de DEZEMBRO de 2024</t>
  </si>
  <si>
    <t>As empresas descontarão 3% da remuneração mensal dos empregados, nos meses de novembro de 2023 e julho de 2024</t>
  </si>
  <si>
    <t>As empresas devem recolher 6% do total das folhas de pagamento desses meses, com valor mínimo de R$ 330,00 e máximo de R$ 5.100,00 por estabelecimento.</t>
  </si>
  <si>
    <t>As empresas devem descontar de todos os empregados, sindicalizados ou não, o valor equivalente a um dia de remuneração dos meses de abril/2023 e maio/2023</t>
  </si>
  <si>
    <t>R$ 50,00 (cinquenta reais) em uma única cota</t>
  </si>
  <si>
    <t>2 dias de salário. 1 em Julho e 1 em Setembro</t>
  </si>
  <si>
    <t xml:space="preserve">7% da folha de pagamento de Julho/2023 
7% da folha de pagamento de Agosto/2023 
7% da folha de pagamento de Setembro/2023 
7% da folha de pagamento de Outubro/2023 </t>
  </si>
  <si>
    <t>3 dias de remuneração com limite máximo de R$100,00 por dia</t>
  </si>
  <si>
    <t>1 (um) dia de salário do mês de OUTUBRO/2024</t>
  </si>
  <si>
    <t>2 (duas) parcelas, sendo a primeira parcela de 2 (dois) dias de salário do mês de OUTUBRO/2024, de todos os seus empregados, até o dia 14 (quatorze) de NOVEMBRO/2024 e a segunda parcela de iguais 2 (dois) dias de salário do mês NOVEMBRO de /2024</t>
  </si>
  <si>
    <t>3% da remuneração dos meses julho/24, setembro/24,novembro/24 , janeiro/25</t>
  </si>
  <si>
    <t xml:space="preserve">Empresa sem funcionários:R$60,00 
Micro Empresa:R$152,00 
Empresa de Pequeno Porte:R$437,00 
Geral até 30 funcionários:R$2.750,00 
Geral de 31 até 50 funcionários:R$3.850,00
Geral acima de 51 funcionários:R$4.950,00 </t>
  </si>
  <si>
    <t>a importância equivalente a R$ 80,00 (oitenta reais) para Micro e Pequenas Empresas, e para as demais Empresas R$ 160,00 (cento e sessenta reais), até o dia 10 de junho de 2024</t>
  </si>
  <si>
    <t>2% (dois inteiros por cento) do salário efetivamente percebido pelos empregados, limitados a R$ 100,00 cada parcela, nos meses de janeiro/2025, junho/2025 e setembro/2025</t>
  </si>
  <si>
    <t>02 (duas) vezes o valor correspondente a 3,0% (três por cento) da folha de pagamento dos meses de novembro/2024 e junho/2025</t>
  </si>
  <si>
    <t>As empresas, independentemente de possuírem empregados ou não, devem recolher R$ 100,00 a título de contribuição negocial.</t>
  </si>
  <si>
    <t>dois dias de salário:
    1º desconto: Um dia de salário referente ao mês de agosto/2024.
    2º desconto: Um dia de salário referente ao mês de novembro/2024.</t>
  </si>
  <si>
    <t>R$ 30,00, a título de contribuição assistencial mensal</t>
  </si>
  <si>
    <t>a) MEI - R$ 120,58
b) MICROEMPRESA - R$ 385,86
c) EPP - R$ 895,59 com limite máximo de R$ 3.711,73
d) Demais - R$ 3.486,54 com limite máximo de R$ 11.137,39</t>
  </si>
  <si>
    <t>1 dia (um dia) do salário efetivamente percebido pelos empregados no mês de OUTUBRO/2024 e 1 dia (um dia) do salário do mês de NOVEMBRO/2024</t>
  </si>
  <si>
    <t>1,5 (um e meio) dia de salário do mês de outubro de 2024, de todos os seus empregados</t>
  </si>
  <si>
    <t>R$ 130,00 em duas parcelas de R$ 65,00</t>
  </si>
  <si>
    <t xml:space="preserve">De 0 a 3 empregados: R$299 
De 4 a 10 empregados: R$459 
De 11 a 20 empregados: R$629 
De 21 a 35 empregados: R$1.010 
Acima de 35 empregados: R$1.469 </t>
  </si>
  <si>
    <t>dois dias de serviço do piso da categoria reajustado.
    Primeiro desconto: 1 dia de serviço no mês de setembro de 2024.
    Segundo desconto: 1 dia de serviço no mês de outubro de 2024.</t>
  </si>
  <si>
    <t>2 dias de rem. de cada empregado (descontado em julho e setembro de 2024)</t>
  </si>
  <si>
    <t>5% de Julho/2024 até 30 de Agosto/2024 com mínimo de R$225,00</t>
  </si>
  <si>
    <t>Valores a pagar:
    Empresas sem empregados: R$ 200,00.
    Empresas com até 5 empregados: R$ 372,00.
    Empresas com 6 a 10 empregados: R$ 682,00.
    Empresas com 11 a 14 empregados: R$ 1.410,00.
    Empresas com mais de 15 empregados: R$ 2.100,00.
Isenção: Empresas associadas ao sindicato estão isentas de pagar a contribuição assistencial/negocial.</t>
  </si>
  <si>
    <t>Será descontado um dia de salário de cada empregado nos meses de julho de 2024 e agosto de 2024.</t>
  </si>
  <si>
    <t>um dia do salário base do empregado do mês de maio/2024</t>
  </si>
  <si>
    <t xml:space="preserve">4% da remuneração efetivamente percebida no mês de maio/2023 
4% da remuneração efetivamente percebida no mês de julho/2023 
4% da remuneração efetivamente percebida no mês de outubro/2023 
4% da remuneração efetivamente percebida no mês de janeiro/2024 </t>
  </si>
  <si>
    <t xml:space="preserve">4% da folha de pagamento do mês de maio/2023 
4% da folha de pagamento do mês de julho/2023 
4% da folha de pagamento do mês de outubro/2023 
4% da folha de pagamento do mês de janeiro/2024 </t>
  </si>
  <si>
    <t>1 (um) dia do salário efetivamente percebido pelos empregados 
no mês de janeiro de 2025</t>
  </si>
  <si>
    <t>a importância de R$ 120,00 (cento e vinte reais)</t>
  </si>
  <si>
    <t>a importância mensal de R$20,00, de 01 de setembro de 2024 a 31 de agosto de 2025, inclusive referente ao 13 salário</t>
  </si>
  <si>
    <t>a importância equivalente a 3/30 do total da folha do mês de setembro de 2024</t>
  </si>
  <si>
    <t>um dia de salário dos meses de JULHO/2024 e AGOSTO/2024</t>
  </si>
  <si>
    <t xml:space="preserve">Nenhum empregado	 R$    200,00 
De 01 a 05 empregados	 R$    372,00 
De 06 a 10 empregados	 R$    682,00 
De 11 a 14 empregados	 R$ 1.410,00 
Acima de 15 empregados	 R$ 2.100,00 </t>
  </si>
  <si>
    <t>1 dia de salário do mês de setembro de 2022.      
As empresas também devem descontar 0,8% sobre o piso salarial do empregado, com a base de cálculo não podendo ser inferior a 1 salário mínimo da categoria e limitada a 1,5 vezes o piso geral.</t>
  </si>
  <si>
    <t>Será cobrado 3 dias de salário: 1º dia de salário (referente à folha de setembro de 2024)
2º dia de salário (referente à folha de janeiro de 2025)
3º dia de salário (maio de 2025)</t>
  </si>
  <si>
    <t>R$ 440,00 no total, dividido em 4 parcelas iguais de R$ 110,00 cada.
Datas de Recolhimento:
    1ª parcela: Até o dia 10 de setembro de 2024.
    2ª parcela: Até o dia 10 de outubro de 2024.
    3ª parcela: Até o dia 10 de novembro de 2024.
    4ª parcela: Até o dia 10 de dezembro de 2024.</t>
  </si>
  <si>
    <t>1 dia de remuneração do salário do empregado.</t>
  </si>
  <si>
    <t>5% do total da folha de pagamento já reajustada. Contribuição mínima de R$ 225,00 por empresa. Até o dia 30 de agosto de 2024.</t>
  </si>
  <si>
    <t>Empresas sem empregados: R$ 43,72. Empresas com 1 a 5 empregados: R$ 69,96. Empresas com 6 a 10 empregados: R$ 131,17. Empresas com mais de 11 empregados: R$ 174,90. Até o dia 15 de janeiro de 2024.</t>
  </si>
  <si>
    <t>4% da folha de pagamento de setembro de 2024. 
Valor mínimo: R$ 248,00. 
Valor máximo: R$ 58.115,00.</t>
  </si>
  <si>
    <t>4% do salário referente ao mês de agosto de cada ano. 
4% do salário reajustado referente ao mês de dezembro de cada ano</t>
  </si>
  <si>
    <t>Desconto de 1,5% (um e meio por cento) do salário efetivamente percebido pelos empregados, incluindo o 13º salário.
Limite máximo de R$ 28,00 por mês, por empregado.</t>
  </si>
  <si>
    <t>1 (um) dia de salário de todos os empregados, beneficiados ou não pela convenção, referente ao mês de março de 2024.  
O pagamento deve ser feito até 14 de novembro de 2024.  
Valor mínimo a ser recolhido: R$ 150,00 (para empresas sem empregados ou quando o valor for inferior a R$ 150,00).</t>
  </si>
  <si>
    <t>Valor: 5% (cinco por cento) do piso salarial da categoria percebido pelos empregados nas folhas de julho e dezembro de 2024.</t>
  </si>
  <si>
    <t>A importância equivalente a 1 (um) dia de salário de todos os seus empregados, beneficiados ou não pela convenção.pagarão, em março de 2024, a importância equivalente a 1 (um) dia de salário de todos os seus empregados, beneficiados ou não pela convenção. Recolhimento até 15 de outubro de 2024.  Nenhuma empresa poderá contribuir com valor inferior a R$ 150,00.</t>
  </si>
  <si>
    <t>o valor de R$ 107,00 adicionado de R$ 16,00 por funcionário, em parcela única, via cobrança bancária</t>
  </si>
  <si>
    <t>Desconto assistencial mensal equivalente a 1% (um por cento) do salário mínimo profissional garantido aos empregados em geral. As quantias assim descontadas serão recolhidas aos cofres do Sindicato dos Empregados, sob expressa exigência negocial e a inteira responsabilidade deste, até 10 (dez) dias após a efetivação do desconto.</t>
  </si>
  <si>
    <t>5% (cinco por cento) do piso salarial da categoria percebido pelos empregados nas folhas de julho e dezembro de 2024. 
Prazo de Recolhimento: Os valores devem ser recolhidos até o dia 10 do mês subsequente ao desconto.</t>
  </si>
  <si>
    <t>01 (um) dia de salário do mês de novembro/24 e a 01 (um) dia de salário do mês março/25, sobre todos os seus empregados</t>
  </si>
  <si>
    <t>Percentual do Desconto: As empresas deverão descontar 2,00% (dois por cento) do salário dos seus empregados nos seguintes meses:
    AGOSTO/2024,
    OUTUBRO/2024,
    JANEIRO/2025.</t>
  </si>
  <si>
    <t>Número de empregados   /  Valor da parcela 
01 a 04                     154,00
05 a 010	    286,00
011 a 020 	   583,00
021 a 050 	   1.117,00
051 a 100 	   2.288,00
101 a 200 	   4.587,00
mais de 200 	   9.185,00
Sem empregados           60,00</t>
  </si>
  <si>
    <t>As empresas devem recolher ao Sindicato do Comércio Varejista de Viamão a quantia de R$ 84,20 (oitenta e quatro reais e vinte centavos) referente à data base de 01 de março de 2024. 
Vencimento: O valor deve ser pago até o dia 16 de setembro de 2024.</t>
  </si>
  <si>
    <t>Os empregadores deverão descontar 1% (um por cento) do piso profissional dos empregados da categoria, independentemente de serem sindicalizados ou não. 
Meses de Desconto: O desconto será aplicado nos meses de janeiro a dezembro de 2024.</t>
  </si>
  <si>
    <t xml:space="preserve">a 2% sobre o salário dos meses de julho, setembro e outubro de 2023 </t>
  </si>
  <si>
    <t>importância equivalente a 02 (dois) dias de salário, por empregado, do mês de dezembro de 2024, já corrigido, e 01 (um) dia de salário, por
empregado, do mês de fevereiro de 2025</t>
  </si>
  <si>
    <t>a 1 (um) dia de salário do mês de dezembro de 2024, 2% do salário do mês de maio de 2025 e 2% do salário do mês de julho de 2025</t>
  </si>
  <si>
    <t>1 dia de salário referente ao mês de dezembro de 2023.
2% do salário referente ao mês de maio de 2024.
2% do salário referente ao mês de julho de 2024.
Recolhimento: O valor descontado deve ser recolhido aos cofres do Sindicato dos Empregados no Comércio de Canoas até o dia 10 do mês subsequente ao desconto.</t>
  </si>
  <si>
    <t>As empresas devem pagar 7% do total da folha de pagamento referente ao mês de novembro de 2023.
3% do total da folha de pagamento referente ao mês de maio de 2024.
Recolhimento: Os valores devem ser recolhidos até o dia 10 do mês subsequente a cada mês de desconto, utilizando as guias próprias fornecidas pelo SINDILOJAS CACHOEIRINHA.</t>
  </si>
  <si>
    <t>Empresas MEI (Microempreendedor Individual): R$ 170,00
Empresas sem empregados: R$ 280,00
Empresas com até 2 empregados: R$ 340,00
Empresas de 3 a 5 empregados: R$ 460,00
Empresas de 6 a 9 empregados: R$ 660,00
Empresas com mais de 9 empregados: R$ 850,00 O recolhimento deve ser realizado até 30 de outubro de 2024, através de guias próprias e nos estabelecimentos bancários indicados.</t>
  </si>
  <si>
    <t>Empregados em Geral e Auxiliares de Depósito: R$ 426,96 (12x R$ 35,58) com vencimento em 07/10/2024;   Empregados Encarregados de Limpeza, Office-Boys e Jovem Aprendiz: R$ 418,44 (12x R$ 34,87) com vencimento em 07/10/2024;     Empregados Comissionistas Puros: R$ 436,32 (12x R$ 36,36) com vencimento em 07/10/2024. Desconto de 2% do piso da categoria, recolhido ao Sindicato até 07/10/2024.</t>
  </si>
  <si>
    <t>Desconto mensal de 1,5% do piso estabelecido nas cláusulas 3ª da CCT, a ser recolhido até o dia 10 do mês subsequente</t>
  </si>
  <si>
    <t>2 dias de salário de todos os empregados (beneficiados ou não pelo acordo).
O primeiro dia deve ser pago até 29/02/2024, e o segundo até 15/05/2024.
Empresas não podem contribuir com valor inferior a R$ 50,00.</t>
  </si>
  <si>
    <t>O desconto mensal será correspondente a 1,5% (um inteiro e cinquenta centésimos por cento)  sendo pago até o dia 10 do mês subsequente ao desconto</t>
  </si>
  <si>
    <t>Desconto de 12% do salário, dividido em 3 parcelas de 4% cada, com teto de R$ 322,00 no total (R$ 107,00 por parcela).
1ª Parcela: Desconto em abril de 2024, pagamento até 10/05/2024.
2ª Parcela: Desconto em junho de 2024, pagamento até 10/07/2024.
3ª Parcela: Desconto em agosto de 2024, pagamento até 10/09/2024.</t>
  </si>
  <si>
    <t>12% do salário, dividido em 3 parcelas de 4% cada, com teto de R$ 322,00.
1ª Parcela: Desconto em abril de 2024, pagamento até 10/05/2024.
2ª Parcela: Desconto em junho de 2024, pagamento até 10/07/2024.
3ª Parcela: Desconto em agosto de 2024, pagamento até 10/09/2024.</t>
  </si>
  <si>
    <t>2 parcelas. (Não tem valor das parcelas no documento de 2024)
1ª Parcela: Vencimento até 14/06/2024.
2ª Parcela: Vencimento até 13/09/2024.
Valor Mínimo: R$ 60,00 por parcela para empresas sem empregados.</t>
  </si>
  <si>
    <t>DOCUMENTO DE 2021 Valor equivalente a 02 (dois) dias da remuneração já reajustada, sendo 01 (um) dia da remuneração de março de 2021 e 01 (um) dia da remuneração de fevereiro de 2022. O valor de cada parcela é limitado a R$ 150,00.</t>
  </si>
  <si>
    <t>DOCUMENTO DE 2021 (Primeira parcela) 5,0% (cinco por cento) a ser calculado com base na remuneração da folha de pagamento do mês de NOVEMBRO DE 2021
(Segunda parcela) 5,0% (cinco por cento) a ser calculado com base na remuneração da folha de pagamento do mês de DEZEMBRO DE 2021</t>
  </si>
  <si>
    <t>2 (dois) dias de salário do mês de outubro de 2024, de todos os seus empregados beneficiados ou não pela presente convenção, recolhendo tais importâncias ao Sindilojas São Francisco até o dia 12 de dezembro de 2024</t>
  </si>
  <si>
    <t>2 dias de salário, divididos em:
1 dia de salário em julho de 2024.
1 dia de salário em agosto de 2024.</t>
  </si>
  <si>
    <t>MEI com mão de obra contratada: R$ 100,00 por empregado.
ME: R$ 150,00 por empregado.
EPP, Lucro Presumido, Lucro Real: R$ 100,00 por empregado.
Pagamento: Até 31 de janeiro de 2025.</t>
  </si>
  <si>
    <t>R$ 27,00 mensais, a partir de março de 2024. Desconto até o dia 7 do mês subsequente.</t>
  </si>
  <si>
    <t>6,70% sobre a folha de pagamento de junho de 2024. Recolhimento até 20/07/2024. Valor mínimo de R$ 118,00. Guias superiores a R$ 800,00 podem ser parceladas (20/07/2024 e 20/09/2024).</t>
  </si>
  <si>
    <t>Devem recolher 2 dias de salário de cada empregado em setembro de 2024 e 1 dia de salário em outubro de 2024, com vencimentos em 15/10/2024 e 18/11/2024, respectivamente. Valor mínimo por contribuição: R$ 93,00.</t>
  </si>
  <si>
    <t>contribuição relativa aos meses de AGO/2024, OUT/2024 e DEZ/2024, o valor correspondente a 4% do salário de cada de empregado</t>
  </si>
  <si>
    <t>a importância equivalente a 2 (dois) dias de salário do mês de MAIO/2024</t>
  </si>
  <si>
    <t>Sem empregados: R$ 55,00
1 a 3 empregados: R$ 83,00
4 a 6 empregados: R$ 105,00
7 a 10 empregados: R$ 132,00
11 a 20 empregados: R$ 160,00
21 a 50 empregados: R$ 200,00
Mais de 50 empregados: R$ 220,00
Vencimento: Até 30/10/2023</t>
  </si>
  <si>
    <t>Valor: R$ 12,00 mensais
Desconto: De setembro/2023 a fevereiro/2024, parcelado em 6 vezes.
Repasse: Até o dia 10 do mês seguinte ao desconto.</t>
  </si>
  <si>
    <t>a importância correspondente a 4% do salário do mês de NOVEMBRO/2024, JANEIRO/2025 e MARÇO/2025</t>
  </si>
  <si>
    <t xml:space="preserve">Desconto Assistencial Patronal (Sindilojas Santa Maria): 
MEI: R$ 121,22 
Microempresa: R$ 387,69 
EPP: R$ 862,00 (máximo R$ 3.731,69)  
Demais Empresas: R$ 3.731,70 (máximo R$ 11.198,22) 
Parcelamento: Até 3 vezes: 
Vencimentos: 10/12/2024, 10/01/2025, 10/02/2025 
Valor mínimo por parcela: R$ 186,35 
Pagamento único: Vencimento em 10/12/2024 </t>
  </si>
  <si>
    <t>Valor: R$ 33,00 por empregado mensalmente
Vencimento: Até o 10º dia do mês subsequente</t>
  </si>
  <si>
    <t>Valor:
    0 a 1 funcionário: R$ 200,00
    2 a 3 funcionários: R$ 310,00
    4 a 5 funcionários: R$ 420,00
    6 a 7 funcionários: R$ 530,00
    8 a 9 funcionários: R$ 640,00
    10 a 11 funcionários: R$ 750,00
    12 a 13 funcionários: R$ 860,00
    14 a 15 funcionários: R$ 970,00
    16 a 17 funcionários: R$ 1.080,00
    18 a 19 funcionários: R$ 1.190,00
    20 a 25 funcionários: R$ 1.410,00
    26 a 31 funcionários: R$ 1.630,00
    32 a 35 funcionários: R$ 1.850,00
    Acima de 36 funcionários: R$ 2.070,00
Valor mínimo: R$ 200,00 (também aplicável para empresas sem empregados)
Recolhimento: Até 05/08/2024, através de boleto SICREDI fornecido pelo Sindilojas</t>
  </si>
  <si>
    <t xml:space="preserve">    1 empregado: R$ 65,00
    2 a 3 empregados: R$ 110,00
    4 a 5 empregados: R$ 160,00
    6 a 7 empregados: R$ 210,00
    8 a 9 empregados: R$ 265,00
    10 a 15 empregados: R$ 335,00
    Mais de 15 empregados: R$ 450,00
Recolhimento: Até 15/10/2024</t>
  </si>
  <si>
    <t>contribuição mensal de 1% da remuneração</t>
  </si>
  <si>
    <t>10% da folha de pagamento, pagáveis da seguinte forma:
5% sobre o salário de contribuição para o INSS, referente ao mês de novembro de 2023, com vencimento em 15.12.2023
5% sobre o salário de contribuição para o INSS, referente ao mês de novembro de 2023, com vencimento em 15.03.2023</t>
  </si>
  <si>
    <t>10% do valor da folha de pagamento, mediante guias fornecidas pelo sindicato patronal, pagáveis da seguinte forma:
2,50% sobre o salário de contribuição para o INSS, referente ao mês de julho de 2024, com vencimento em 15 de agosto 2024
2,50% sobre o salário de contribuição para o INSS, referente ao mês de outubro de 2024, com vencimento em 15 de novembro 2024</t>
  </si>
  <si>
    <t>Desconto de R$ 26,90 por mês, a ser recolhido até o dia 10 do mês subsequente ao desconto, aos cofres do Sindicato dos Empregados no Comércio de Taquari.</t>
  </si>
  <si>
    <t>Contribuição equivalente a 1 dia de salário (março de 2024), com valor mínimo de R$ 150,00.
Recolhimento até 15/09/2024.</t>
  </si>
  <si>
    <t>1 dia de salário nos meses de julho e agosto de 2024.
Recolhimento até o dia 10/08/2024 para julho e até o dia 10/09/2024 para agosto.</t>
  </si>
  <si>
    <t>DOCUMENTO RECENTE NÃO TEM CONTRIBUIÇÃO</t>
  </si>
  <si>
    <t>Microempresas: 2 parcelas de R$ 93,00, com vencimento da 1ª até 15/12/2023 e da 2ª até 15/01/2024.
Empresas de pequeno porte: 2 parcelas de R$ 137,00, com vencimento da 1ª até 15/12/2023 e da 2ª até 15/01/2024.
Demais empresas: 2 parcelas de R$ 220,00, com vencimento da 1ª até 15/12/2023 e da 2ª até 15/01/2024.</t>
  </si>
  <si>
    <t>Desconto de 1,5% do salário (limitado a R$ 28,00), incluindo 13º salário.</t>
  </si>
  <si>
    <t>R$ 99,00 (noventa e nove reais).</t>
  </si>
  <si>
    <t>Desconto referente a 2 dias de salário atualizado do empregado, sindicalizado ou não, e beneficiado ou não pelas cláusulas da Convenção Coletiva de Trabalho.
1º dia de desconto em agosto/2024 e 2º dia em setembro/2024.</t>
  </si>
  <si>
    <t>Desconto de 4 dias de salário, beneficiados ou não com a Convenção Coletiva.
1º dia: salário de junho de 2024, pago até 10 de julho de 2024.
2º dia: salário de julho de 2024, pago até 10 de agosto de 2024.
3º dia: salário de março de 2025, pago até 10 de abril de 2025.
4º dia: salário de abril de 2025, pago até 10 de maio de 2025.</t>
  </si>
  <si>
    <t>2 dias de salário de março de 2024.
Pagamento até 30 de agosto de 2024.
2 dias de salário de março de 2025.
Pagamento até 30 de agosto de 2025.</t>
  </si>
  <si>
    <t>2 dias de salário de maio de 2024.
Pagamento até 30 de setembro de 2024.
Contribuição mínima de R$ 100,00.</t>
  </si>
  <si>
    <t>Desconto de 4% do salário percebido.
Nos meses de junho, setembro e novembro de 2024.
Recolhimento até o 5º dia útil do mês subsequente ao desconto.</t>
  </si>
  <si>
    <t>01 dia da folha do mês de Julho e 01 dia do folha mês de Agosto de 2024</t>
  </si>
  <si>
    <t>6,70% sobre a folha de pagamento do mês de JULHO de 2024 até o dia 15/09/2024</t>
  </si>
  <si>
    <t>Contribuição assistencial no valor de R$ 26,90 mensais.</t>
  </si>
  <si>
    <t>Empresas representadas pelo Sindicato do Comércio Varejista de Lajeado devem pagar a contribuição até 15/09/2024.
Guias com valores superiores a R$ 800,00 podem ser parceladas (15/09/2024 e 15/10/2024).
Valor mínimo da guia: R$ 117,10.</t>
  </si>
  <si>
    <t>1% sobre a remuneração do empregado, incluindo o 13º salário, para o período de 2024/2025.</t>
  </si>
  <si>
    <t>Empresas do comércio varejista de Quaraí devem recolher, até o quinto dia útil de junho de 2024, um valor mínimo de R$ 100,00 para empresas com 0 a 5 empregados. Para cada empregado adicional, o valor aumenta R$ 20,00 por empregado.</t>
  </si>
  <si>
    <t xml:space="preserve">As empresas devem descontar de todos os empregados (sindicalizados ou não) dois dias de salário por ano, de acordo com as seguintes datas:
1º dia do salário de junho de 2024, com recolhimento até o dia 10 de julho de 2024. 
1º dia do salário de julho de 2024, com recolhimento até o dia 10 de agosto de 2024. 
1º dia do salário de março de 2025, com recolhimento até o dia 10 de abril de 2025. 
1º dia do salário de abril de 2025, com recolhimento até o dia 10 de maio de 2025. </t>
  </si>
  <si>
    <t>O valor corresponde a 2 dias de salário de março de 2024, com pagamento até o dia 30 de agosto de 2024. Para o ano de 2025, as empresas deverão pagar 2 dias de salário de março de 2025, com pagamento até o 30 de agosto de 2025. O valor mínimo de cada parcela de contribuição será de R$ 100,00 (cem reais).</t>
  </si>
  <si>
    <t>3 dias de salário de todos os seus empregados, beneficiados ou não pela convenção.
O pagamento será feito em 3 parcelas:
Primeira parcela até 16/09/2024.
Segunda parcela até 15/10/2024.
Terceira parcela até 18/11/2024.</t>
  </si>
  <si>
    <t>contribuição negocial de R$ 25,00 (vinte e cinco reais) para todos os empregados, sindicalizados ou não, beneficiados ou não pela convenção.
O empregador deve descontar essa contribuição mensalmente e repassá-la ao sindicato até o dia 10 do mês subsequente ao desconto. Caso o desconto não tenha sido feito nos meses de março a julho de 2024, ele deverá ser recuperado nos meses seguintes (agosto e setembro de 2024) e descontado junto à folha de pagamento desses meses.</t>
  </si>
  <si>
    <t>As empresas devem descontar dos seus empregados uma contribuição mensal de R$ 23,00 (vinte e três reais), que será paga até o dia 8 do mês subsequente ao desconto.
A contribuição também será devida sobre o 13º salário.</t>
  </si>
  <si>
    <t>A contribuição negocial das empresas será calculada conforme o número de empregados, conforme a tabela:
Sem empregados: R$ 170,00.
1 a 3 empregados: R$ 370,00.
4 a 6 empregados: R$ 730,00.
Empresas com 7 ou mais empregados: A contribuição será 8% da folha de pagamento (salário bruto) do mês de julho, já reajustada conforme a convenção.</t>
  </si>
  <si>
    <t>uma taxa de contribuição negocial de 12% do valor do salário, dividida em 3 parcelas de 4% cada.
O desconto de cada parcela é limitado a R$ 107,00 por mês, e o valor total (teto) do desconto será de R$ 322,00.</t>
  </si>
  <si>
    <t>As empresas representadas pelo Sindicato do Comércio Varejista de Canoas deverão recolher 2 dias de salário de abril de 2024 (corrigido) e 1 dia de salário de junho de 2024.
O recolhimento deve ser feito até 15 de maio de 2024 (para abril) e 15 de julho de 2024 (para junho).</t>
  </si>
  <si>
    <t>Os empregadores descontarão 4% do salário efetivamente percebido pelos empregados nos meses de maio, agosto e novembro de 2023.</t>
  </si>
  <si>
    <t>O valor total da contribuição é de R$ 120,00 por parcela, independentemente de a empresa ter ou não empregados.
Parcelamento: A contribuição será paga em 3 parcelas:
Primeira parcela: até 30 de junho de 2023
Segunda parcela: até 31 de julho de 2023
Terceira parcela: até 31 de agosto de 2023</t>
  </si>
  <si>
    <t>um dia de folha de pagamento de todos os empregados da empresa, já reajustado e vigente no momento do recolhimento, referente ao mês de agosto de 2023.  O pagamento deverá ser feito até o dia 10 de fevereiro de 2024.</t>
  </si>
  <si>
    <t>A contribuição será equivalente a 1% do piso da categoria, descontada mensalmente dos empregados.</t>
  </si>
  <si>
    <t>Devem recolher uma contribuição assistencial/negocial em única parcela até 20 de dezembro de 2024
Empresas sem empregados: R$ 200,00 (duzentos reais).
Faixa 1 (1 a 5 empregados): R$ 372,00.
Faixa 2 (6 a 10 empregados): R$ 682,00.
Faixa 3 (11 a 14 empregados): R$ 1.410,00.
Faixa 4 (15 ou mais empregados): R$ 2.100,00.</t>
  </si>
  <si>
    <t>Valores por Categoria de Empregado:
 Empregados que Recebem Exclusivamente Comissões:
  Valor total: R$ 430,80 (quatrocentos e trinta reais e oitenta centavos).
   Desconto: 12 parcelas de R$ 35,90 (equivalente a 2% do piso da categoria).
   Desconto inicia-se a partir do mês de pagamento das diferenças salariais.
Empregados em Geral e Auxiliares de Depósito:
  Valor total: R$ 421,56 (quatrocentos e vinte e um reais e cinquenta e seis centavos).
   Desconto: 12 parcelas de R$ 35,13.
   Desconto inicia-se a partir do mês de pagamento das diferenças salariais.
Encarregados de Serviço de Limpeza, Office-Boy e Jovens Aprendizes:
  Valor total: R$ 413,16 (quatrocentos e treze reais e dezesseis centavos).
   Desconto: 12 parcelas de R$ 34,43.
   Desconto inicia-se a partir do mês de pagamento das diferenças salariais.</t>
  </si>
  <si>
    <t>O valor corresponde a 4% do salário percebido pelos empregados nos meses de novembro de 2024, janeiro de 2025 e março de 2025.</t>
  </si>
  <si>
    <t>Valores de Contribuição:
    MEI: R$ 121,22.
    Microempresa: R$ 387,69.
    EPP: R$ 862,00 (com limite máximo de R$ 3.731,69).
    Demais Empresas: R$ 3.7931,70 (com limite máximo de R$ 11.198,22).
O recolhimento pode ser parcelado em até 3 vezes: vencendo em 10.12.2024, 10.01.2025 e 10.02.2025.
Empresas que optarem por uma única parcela deverão pagar até 10.12.2024.
Valor mínimo por parcela: R$ 186,35.</t>
  </si>
  <si>
    <t>Janeiro de 2025: Desconto de 2 dias de salário (incluindo gratificações legais e comissões conforme art. 457, parágrafo 1º, da CLT), com recolhimento até 20 de março de 2025.
Julho de 2025: Desconto de 1 dia de salário (incluindo gratificações e comissões), com recolhimento até 20 de agosto de 2025.
 Nenhuma empresa, com ou sem empregados, poderá contribuir com valor inferior a R$ 80,00 por contribuição"</t>
  </si>
  <si>
    <t>Valores e Prazos de Recolhimento:
Mês de dezembro de 2024: Desconto de 1 dia de salário, com recolhimento até 10 de janeiro de 2025.
Mês de março de 2025: Desconto de 2% da remuneração, com recolhimento até 10 de abril de 2025.
Mês de julho de 2025: Desconto de 3% da remuneração, com recolhimento até 12 de agosto de 2025.</t>
  </si>
  <si>
    <t>1% do total bruto da folha de pagamento do mês de Setembro/2024, limitado ao valor mínimo por empresas em R$ 278,00 e o máximo de R$ 3.000,00</t>
  </si>
  <si>
    <t>3% no mês de Junho de 2024 e 3% no mês de outubro de 2024</t>
  </si>
  <si>
    <t>Outubro/2024  6% da folha de pagamento (mínimo R$ 350,00, máximo R$ 5.300,00)</t>
  </si>
  <si>
    <t>Novembro/2024 e Julho/2025
4% da remuneração
Até o dia 10 do mês seguinte</t>
  </si>
  <si>
    <t>mensalmente 1% da remuneração dos empregados</t>
  </si>
  <si>
    <t>2 dias de salário do mês de outubro / nenhuma empresa, possuindo ou não empregados, poderá contribuir com a importância inferior a R$90,00</t>
  </si>
  <si>
    <t>importância mensal de R$23,00 a partir de julho/2024, inclusive referente ao 13 salário</t>
  </si>
  <si>
    <t>Número de Empregados        Valor de contribuição
sem empregados              R$170,00
01 a 03 empregados          R$370,00
04 a 06 empregados          R$730,00
No caso de empresas com sete ou mais empregados a contribuição será equivalente a 8% da folha de pagamento do mês de Julho.</t>
  </si>
  <si>
    <t>Abril 2025: 4% (desconto sobre o salário normativo) - Desconto até 30/04/2025 - Recolhimento até 10/05/2025
Outubro 2025: 4% (desconto sobre o salário normativo) - Desconto até 31/10/2025 - Recolhimento até 10/11/2025</t>
  </si>
  <si>
    <t>Até 5 empregados: 10% (salário normativo) - Primeira parcela até 20/12/2024 - Segunda parcela até 20/03/2025
De 6 a 10 empregados: 20% (salário normativo) - Primeira parcela até 20/12/2024 - Segunda parcela até 20/03/2025
De 11 a 15 empregados: 30% (salário normativo) - Primeira parcela até 20/12/2024 - Segunda parcela até 20/03/2025
Mais de 16 empregados: 50% (salário normativo) - Primeira parcela até 20/12/2024 - Segunda parcela até 20/03/2025</t>
  </si>
  <si>
    <t>2 dias em JUNHO de 2023 - Recolhimento até 15/07/2023
2 dias em AGOSTO de 2023 - Recolhimento até 15/09/2023
Nenhuma empresa pode contribuir com valor inferior a R$ 50,00.</t>
  </si>
  <si>
    <t>4% sobre o salário efetivamente percebido pelos empregados nos meses de JUN/2023, AGO/2023 e NOV/2023.</t>
  </si>
  <si>
    <t>1 (um) dia em SET/2024 - Recolhimento até 10/10/2024
1 (um) dia em OUT/2024 - Recolhimento até 10/11/2024</t>
  </si>
  <si>
    <t>Primeira parcela: 4% do salário de JULHO de 2024 - Recolhimento até 30/08/2024
Segunda parcela: 4% do salário de AGOSTO de 2024 - Recolhimento até 30/09/2024</t>
  </si>
  <si>
    <t>As empresas devem descontar de seus empregados a Contribuição Negocial de 2% do salário nominal de cada trabalhador, com limite de R$ 50,00 por mês, nos seguintes meses:
    DEZ/2024, JAN/2025, FEV/2025, ABR/2025, MAI/2025 e JUN/2025.</t>
  </si>
  <si>
    <t xml:space="preserve">VALOR NÃO DEFINIDO     </t>
  </si>
  <si>
    <t>valor equivalente a 8% (oito por cento) da remuneração “per capita” de seus
empregados, devendo ser descontado em duas vezes de 4% (quatro por cento) nas folhas de pagamento dos dois
meses subsequentes ao fechamento da CCT a ser recolhido até o dia 10 (dez) do mês seguinte ao desconto.
Teto máximo de R$80,00</t>
  </si>
  <si>
    <t>Até 05 empregados: 10% (dez por cento) do salário normativo;
De 6 a 10 empregados: 20% (vinte por cento) do salário normativo;
De 11 a 15 empregados: 30% (trinta por cento) do salário normativo;
e mais de 16 empregados: 50% (cinquenta por cento) do salário normativo</t>
  </si>
  <si>
    <t>4% sobre o salário normativo da categoria, nos meses de Novembro de 2024 e Julho de 2025, até o dia 10 do mês subsequente.</t>
  </si>
  <si>
    <t>2% sobre o salário base dos mesmos nos meses de Janeiro, Maio e Setembro de 2024</t>
  </si>
  <si>
    <t>Sem funcionário    R$180,00
1 a 4 funcionários R$280,00
5 a 10 funcionários R$490,00
Acima de 11 empregados R$988,00</t>
  </si>
  <si>
    <t>Valor limitado a três parcelas de R$35,00, cada, sendo que os descontos serão nas folhas de OUTUBRO/2024, NOVEMBRO/2024 e DEZEMBRO/2024</t>
  </si>
  <si>
    <t xml:space="preserve">Sem empregado ou MEI: R$ 140,00 
De 1 a 5 funcionários: R$ 200,00 
De 6 a 10 funcionários: R$ 250,00 
De 11 a 30 funcionários: R$ 300,00 
De 31 a 50 funcionários: R$ 450,00 
De 51 a 100 funcionários: R$ 550,00 
Acima de 100 funcionários: R$ 800,00 </t>
  </si>
  <si>
    <t>No valor equivalente a 3% (três por cento) da renda mensal do trabalhador, em parcela única, limitada a R$ 55,00 (cinquenta e cinco reais), pagos até o dia 10 (dez) do mês subsequente ao desconto.</t>
  </si>
  <si>
    <t>valor equivalente a duas parcelas anuais de 4% cada uma, nos meses de setembro e novembro de cada ano, limitado ao máximo de R$120,00 por parcela</t>
  </si>
  <si>
    <t>Duas parcelas com vencimentos em 15 de SETEMBRO e 15 de OUTUBRO 
Número de empregados              Valor da contribuição(CADA PARCELA)
De 0 até 10 empregados            R$200,00
Acima de 11 empregados            R$20,00 por empregado existente no mês do pagamento</t>
  </si>
  <si>
    <t>VALOR NÃO DEFINIDO</t>
  </si>
  <si>
    <t>Primeira parcela: Descontada na folha de pagamento do mês de outubro de 2024.
Segunda parcela: Descontada na folha de pagamento do mês de dezembro de 2024.
"10% do salário nominal de cada empregado, limitado a R$ 250,00.
Teto por parcela: R$ 125,00 por parcela (dividido em 2 parcelas de 5% cada)."</t>
  </si>
  <si>
    <t>A importância equivalente a 4% do salário do normativo no mês de setembro de 2024 e 4% no mês de janeiro de 2025</t>
  </si>
  <si>
    <t xml:space="preserve">Sem funcionários       R$100,00 
01 a 5 funcionários    R$150,00 
6 a 10 funcionários    R$200,00 
11 a 50 funcionários   R$300,00 
Acima de 50 funcionários R$400,00 </t>
  </si>
  <si>
    <t>Valor da Contribuição:
    R$ 63,00 (sessenta e três reais) por empregado, sócios e não sócios da categoria profissional dos comerciários.
Datas de Desconto:
    Setembro de 2024.
    Março de 2025.</t>
  </si>
  <si>
    <t xml:space="preserve">0 a 5 funcionários    R$152,00 
6 a 10 funcionários    R$248,00 
11 a 20 funcionários   R$345,00 
21 a 30 funcionários   R$442,00 
Acima de 30 funcionários R$510,00 </t>
  </si>
  <si>
    <t>2% no mês de agosto de 2024 
2% no mês de novembro de 2024 
com limite de R$100,00 por empregado a cada desconto</t>
  </si>
  <si>
    <t xml:space="preserve">    Janeiro de 2024: O valor corresponde a 2 dias de salário do mês de janeiro de 2024.
    Julho de 2024: O valor corresponde a 1 dia de salário do mês de julho de 2024.
Valor mínimo: Nenhuma empresa poderá contribuir com valor inferior a R$ 80,00 por contribuição, seja em março de 2024 (para a contribuição referente a janeiro) ou em agosto de 2024 (para a contribuição referente a julho).</t>
  </si>
  <si>
    <t xml:space="preserve">2% no mês de Janeiro de 2024 
2% no mês de Setembro de 2024 </t>
  </si>
  <si>
    <t>o valor fixo de R$63,00 no mês de novembro de 2024 e março de 2025</t>
  </si>
  <si>
    <t xml:space="preserve">Até 3 funcionários    R$250,00 
04 a 06 funcionários    R$290,00 
07 a 10 funcionários   R$420,00 
11 a 20 funcionários   R$500,00 
21 a 30 funcionários   R$710,00 
Acima de 30 funcionários R$945,00 </t>
  </si>
  <si>
    <t>12% da remuneração total dos empregados (incluindo salário base, horas extras, comissões, etc.).
É dividido em 3 parcelas:
1ª Parcela (junho de 2023): 4% da remuneração, limitado a R$ 75,00 por empregado.
2ª Parcela (setembro de 2023): 4% da remuneração, limitado a R$ 75,00 por empregado.
3ª Parcela (novembro de 2023): 4% da remuneração, limitado a R$ 75,00 por empregado.</t>
  </si>
  <si>
    <t>10% da folha de pagamento do mês de junho com valor mínimo de R$130,00</t>
  </si>
  <si>
    <t xml:space="preserve">0 empregados: R$ 90,00 
1 a 2 empregados: R$ 173,00 
3 a 4 empregados: R$ 340,00 
5 a 7 empregados: R$ 480,00 
8 a 10 empregados: R$ 618,00 
11 a 15 empregados: R$ 937,00 
16 a 20 empregados: R$ 1.305,00 
Mais de 20 empregados: R$ 1.670,00 </t>
  </si>
  <si>
    <t>R$ 60,00 para trabalhadores não associados (abril de 2025). 
R$ 30,00 para trabalhadores filiados (abril de 2025).</t>
  </si>
  <si>
    <t xml:space="preserve">3% sobre a remuneração de julho de 2024, com vencimento até 10 de agosto de 2024, limitado a R$ 100,00. 
3% sobre a remuneração de novembro de 2024, com vencimento até 10 de dezembro de 2024, limitado a R$ 100,00. 
3% sobre a remuneração de março de 2025, com vencimento até 10 de abril de 2025, limitado a R$ 100,00. </t>
  </si>
  <si>
    <t>Sem funcionários: R$ 184,19 
1 a 5 funcionários: R$ 305,54 
6 a 10 funcionários: R$ 426,89 
11 a 20 funcionários: R$ 731,35 
Acima de 20 funcionários: R$ 1.218,93 
A empresa pode optar por pagar a contribuição em duas parcelas iguais:
Primeira parcela: vencimento em julho de 2024.
Segunda parcela: vencimento em março de 2025.</t>
  </si>
  <si>
    <t>3% sobre a remuneração de novembro de 2024.
3% sobre a remuneração de julho de 2025.
O valor máximo do desconto é de R$ 50,00 por empregado.</t>
  </si>
  <si>
    <t xml:space="preserve">    Empresas sem empregados: R$ 71,00 por vencimento. 
    1 a 3 empregados: R$ 151,00 por vencimento. 
    4 a 6 empregados: R$ 229,00 por vencimento. 
    7 a 11 empregados: R$ 457,00 por vencimento. 
    12 a 18 empregados: R$ 702,00 por vencimento. 
    19 a 30 empregados: R$ 866,00 por vencimento. 
    31 a 40 empregados: R$ 1.098,00 por vencimento. 
    41 a 50 empregados: R$ 1.239,00 por vencimento. 
    51 a 60 empregados: R$ 1.410,00 por vencimento. 
    61 a 80 empregados: R$ 1.604,00 por vencimento. 
    81 a 100 empregados: R$ 1.762,00 por vencimento. 
    Mais de 100 empregados: R$ 2.103,00 por vencimento. 
Prazos de Recolhimento:
    16 de outubro de 2024
    26 de fevereiro de 2025
    16 de julho de 2025</t>
  </si>
  <si>
    <t>3% (três por cento) da remuneração dos empregados, a ser descontado nos meses de novembro de 2024 e julho de 2025.</t>
  </si>
  <si>
    <t>Desconto de 1% do piso profissional (reajustado) sobre qualquer forma de remuneração dos empregados da categoria, nos meses de janeiro a dezembro.</t>
  </si>
  <si>
    <t>EMPRESAS MEI: R$ 170,00 (cento e setenta reais)
EMPRESAS SEM EMPREGADOS: R$ 280,00 (duzentos e oitenta reais)
EMPRESAS COM ATÉ 2 EMPREGADOS: R$ 340,00 (trezentos e quarenta reais)
EMPRESAS DE 3 A 5 EMPREGADOS: R$ 460,00 (quatrocentos e sessenta reais)
EMPRESAS DE 6 A 9 EMPREGADOS: R$ 660,00 (seiscentos e sessenta reais)
EMPRESAS COM MAIS DE 9 EMPREGADOS: R$ 850,00 (oitocentos e cinquenta reais)</t>
  </si>
  <si>
    <t xml:space="preserve">Desconto de 2% do salário reajustado de outubro de 2024, a ser recolhido até o dia 10 de novembro de 2024. 
Desconto de 2% do salário reajustado de novembro de 2024, a ser recolhido até o dia 10 de dezembro de 2024. 
Desconto de 2% do salário reajustado de janeiro de 2025, a ser recolhido até o dia 10 de fevereiro de 2025. 
Desconto de 2% do salário reajustado de março de 2025, a ser recolhido até o dia 10 de abril de 2025. </t>
  </si>
  <si>
    <t>6,70% sobre a folha de pagamento do mês de novembro de 2024.</t>
  </si>
  <si>
    <t>Desconto de 4% sobre o salário efetivamente percebido pelos empregados nos meses de novembro de 2024, janeiro de 2025, e março de 2025, com recolhimento até o dia 10 do mês subsequente.</t>
  </si>
  <si>
    <t>4% do salário de cada empregado nos meses de AGOSTO, OUTUBRO e DEZEMBRO</t>
  </si>
  <si>
    <t>2 dias de salário do mês de MAIO de 2024
A contribuição não poderá ser inferior a R$100,,00</t>
  </si>
  <si>
    <t>contribuição negocial de três dias de salário de todos os empregados beneficiados ou alcançados pela convenção coletiva.
Será pago em 3 parcelas.
Primeira parcela até 28/11/2022.
Segunda parcela até 28/12/2022.
Terceira parcela até 28/02/2023.
Data-base: 1º de março de 2022.</t>
  </si>
  <si>
    <t>Os empregadores descontarão R$ 23,00 de seus empregados representados pelo sindicato, mensalmente, a título de contribuição negocial</t>
  </si>
  <si>
    <t>2 dias de salário do mês de outubro de 2024 de todos os empregados, beneficiados ou não pela convenção.</t>
  </si>
  <si>
    <t>a importância correspondente a 4% (quatro por cento) do salário percebido nos seguintes meses:
    Outubro/2024,
    Dezembro/2024,
    Fevereiro/2025.</t>
  </si>
  <si>
    <t>4% (quatro por cento) do salário efetivamente percebido pelos empregados nos meses de:
    Novembro/2024,
    Janeiro/2025,
    Março/2025.</t>
  </si>
  <si>
    <t>As empresas deverão recolher 6% (seis por cento) da folha de pagamento de seus empregados referente ao mês de novembro de 2024, com o valor mínimo estabelecido para a contribuição.</t>
  </si>
  <si>
    <t>ÚLTIMO DOCUMENTO É DE 2016</t>
  </si>
  <si>
    <t xml:space="preserve">De (nº de empregados) 	Valor por empregado
De 00 a 03	 R$ 40,00 
De 04 a 06	 R$ 24,00 
De 07 a 09	 R$ 18,00 
De 10 a 12	 R$ 14,73 
De 13 a 15	 R$ 12,62 
De 16 a 18	 R$ 11,14 
De 19 a 21	 R$ 10,02 
De 22 a 24	 R$ 9,15 
De 25 a 27	 R$ 8,45 
De 28 a 30	 R$ 7,87 
De 31 a 33	 R$ 7,37 
De 34 a 36	 R$ 6,95 
De 37 a 39	 R$ 6,59 
De 40 a 42	 R$ 6,27 
De 43 a 45	 R$ 5,98 
De 46 a 48	 R$ 5,73 
De 49 a 51	 R$ 5,50 
De 52 a 54	 R$ 5,29 
De 55 a 57	 R$ 5,10 
De 58 a 60	 R$ 4,93 
De 61 ou MAIS	 R$ 4,85   </t>
  </si>
  <si>
    <t>O empregador deverá descontar 4% (quatro por cento) da remuneração dos seus empregados nos meses de agosto e novembro de 2024.</t>
  </si>
  <si>
    <t>Sem empregados: R$ 170,00 
De 01 a 03 empregados: R$ 370,00
De 04 a 06 empregados: R$ 730,00
Para empresas com 7 ou mais empregados, a contribuição será de 8% da folha de pagamento (salário bruto) de julho de 2024, reajustado conforme a convenção, considerando todos os empregados, independentemente de serem beneficiados pela convenção.</t>
  </si>
  <si>
    <t>1 parcela única anual por filial no valor de R$208,00</t>
  </si>
  <si>
    <t>1,5% mensal</t>
  </si>
  <si>
    <t xml:space="preserve">Número de funcionários           Valor 
0 a 5 	                             	          R$1.000,00 
Acima de 5                                   R$1.600,00
</t>
  </si>
  <si>
    <t>10% do salário nominal de cada empregado, limitado ao teto de R$250,00.
Este percentual será dividido em 2 parcelas de 5%c cada, observando o teto de R$125,00 por parcela.</t>
  </si>
  <si>
    <t>1,5% (um inteiro e cinquenta centésimos por cento) do piso salarial</t>
  </si>
  <si>
    <t>A contribuição será equivalente a 2 (dois) dias de salário do mês de maio de 2024</t>
  </si>
  <si>
    <t xml:space="preserve">4% do salário base dos funcionários, limitado ao valor máximo de R$110,00 nos meses de abril e agosto </t>
  </si>
  <si>
    <t xml:space="preserve">0 Empregado -  R$250,00 
01 a 10 empregados - R$350,00 
11 a 20 empregados - R$400,00 
Acima de 21 empregados - R$500,00  </t>
  </si>
  <si>
    <t>valor equivalente a 2 (dois) dias de remuneração do trabalhador</t>
  </si>
  <si>
    <t xml:space="preserve">02 dias de salário de todos os seus empregados </t>
  </si>
  <si>
    <t>1% (um por cento) do piso profissional nos meses de janeiro, fevereiro, março, abril, maio, junho, julho, agosto, setembro, outubro, novembro e dezembro</t>
  </si>
  <si>
    <t>Micro e pequenas empresas: R$ 150,00 (por empresa)
Empresas de outros portes: R$ 15,00 por empregado</t>
  </si>
  <si>
    <t>R$ 50,00 por parcela, limitado a duas parcelas descontadas em Setembro/2023 e Novembro/2023</t>
  </si>
  <si>
    <t>4% do salário normativo da categoria descontado em Novembro de 2024 e Junho de 2025</t>
  </si>
  <si>
    <t>Até 5 empregados: 10% do salário normativo
De 6 a 10 empregados: 20% do salário normativo
De 11 a 15 empregados: 30% do salário normativo
Mais de 16 empregados: 50% do salário normativo  
Primeira parcela: até 20/11/2024
Segunda parcela: até 20/02/2025</t>
  </si>
  <si>
    <t>4% da remuneração dos meses de novembro de cada ano
4% da remuneração dos meses de julho de cada ano
Ambos casos os descontos são limitados a R$80,00 por mês</t>
  </si>
  <si>
    <t>R$ 15,00 por empregado 
deve ser recolhido em uma única parcela até o dia 10/09/2024</t>
  </si>
  <si>
    <t>6% aplicado sobre o valor do piso salarial 
o valor deverá ser descontado em uma única vez até o dia 10/09/2024</t>
  </si>
  <si>
    <t>Valores da Taxa Negocial Patronal (em parcela única):
    De 0 a 3 empregados: R$ 235,00
    De 4 a 10 empregados: R$ 415,00
    De 11 a 20 empregados: R$ 545,00
    De 21 a 40 empregados: R$ 785,00
    De 41 a 99 empregados: R$ 1.675,00
    Acima de 100 empregados: R$ 2.780,00
Data de vencimento: 28/02/2024</t>
  </si>
  <si>
    <t>Novembro de 2023: 2% do salário
Julho de 2024: 2% do salário
Até o dia 10 do mês subsequente ao desconto.</t>
  </si>
  <si>
    <t xml:space="preserve">Parcela única de:
R$55,00 + R$4,00 por empregado existente no mês de Junho/2024
</t>
  </si>
  <si>
    <t>valor equivalente a 1% por cento "per capita", ao mês, totalizando 13 parcelas no ano (incluindo décimo terceiro), referidos valores obedecerão ao limite máximo de R$35,00 por desconto.</t>
  </si>
  <si>
    <t>Novembro de cada ano: 3% da remuneração
Julho de cada ano: 3% da remuneração
Limite para desconto: R$ 50,00 por empregado
    A contribuição deve ser recolhida até o dia 10 do mês subsequente ao desconto.</t>
  </si>
  <si>
    <t xml:space="preserve">    Empresas sem empregados: R$ 65,00
    1 a 3 empregados: R$ 75,00
    4 a 6 empregados: R$ 115,00
    7 a 11 empregados: R$ 175,00
    12 a 18 empregados: R$ 195,00
    19 a 30 empregados: R$ 445,00
    31 a 40 empregados: R$ 555,00
    41 a 50 empregados: R$ 635,00
    Acima de 50 empregados: R$ 695,00
Data de vencimento:
    Até 31 de março de 2023.</t>
  </si>
  <si>
    <t>Até 5 empregados: 10% do salário normativo.
De 6 a 10 empregados: 20% do salário normativo.
De 11 a 15 empregados: 30% do salário normativo.
Mais de 16 empregados: 50% do salário normativo.</t>
  </si>
  <si>
    <t>4% da remuneração dos empregados nos meses
Novembro de 2024
Junho de 2025
Outubro de 2025</t>
  </si>
  <si>
    <t>2 dias de remuneração sendo a primeira parcela no mês de Julho/2024 e a segunda em Agosto/2024</t>
  </si>
  <si>
    <t>1 dia de salário referente ao mês de outubro de 2024.
1 dia de salário referente ao mês de novembro de 2024.</t>
  </si>
  <si>
    <t>Primeira parcela: 2 dias de salário referente ao mês de outubro de 2024, até o dia 12 de dezembro de 2024.
Segunda parcela: 2 dias de salário referente ao mês de novembro de 2024, até o dia 10 de janeiro de 2025.</t>
  </si>
  <si>
    <t>As empresas devem pagar uma quota de R$ 150,00 ao Sindicato do Comércio Varejista de Rio Negrinho.
A cota deve ser paga até o dia 30 de novembro de 2024</t>
  </si>
  <si>
    <t>Valor para Trabalhadores Não Associados: Os trabalhadores não associados ao Sindicato Profissional deverão pagar R$ 60,00 em abril de 2025.
Valor para Trabalhadores Associados: Os trabalhadores associados pagarão R$ 30,00 em abril de 2025.</t>
  </si>
  <si>
    <t>R$ 70,00 (setenta reais), pago em parcela única em setembro de 2024.
Até 10 de outubro de 2024.</t>
  </si>
  <si>
    <t>R$ 70,00 (setenta reais) a ser descontado uma vez em setembro de 2024
Deverá ser descontado em parcela única, com pagamento até o dia 10 de outubro de 2024.</t>
  </si>
  <si>
    <t xml:space="preserve"> R$ 385,00 (mínima) ou 10% da folha de pagamento, se o valor for superior.
Até 31/10/2024.</t>
  </si>
  <si>
    <t>R$ 30,00 (trinta reais) a ser descontado em parcela única em fevereiro de 2024 de cada empregado.</t>
  </si>
  <si>
    <t xml:space="preserve">MEI	 R$ 75,00 
Até 1 empregado 	R$ 100,00  
Até 2 empregados 	R$ 200,00  
Até 3 empregados 	R$ 270,00 
Até 5 empregados 	R$ 420,00 
Até 8 empregados 	R$ 670,00 
Até 10 empregados 	R$ 730,00 
Até 15 empregados 	R$ 850,00 
Até 20 empregados 	R$ 1.150,00 
Até 30 empregados 	R$ 1.750,00 
Até 50 empregados 	R$ 2.000,00 
Até 75 empregados 	R$ 2.200,00 
Mais de 75 empregados 	R$ 3.000,00 </t>
  </si>
  <si>
    <t>1,50% (um e meio por cento) do salário efetivamente percebido, incluindo o 13º salário, limitando o valor máximo do desconto a R$ 28,00 por funcionário, por mês. O pagamento deve ser feito até o dia 10 do mês subsequente ao mês do desconto</t>
  </si>
  <si>
    <t>2 dias de remuneração divido em duas parcelas, sendo a primeira parcela no mês de Julho/2024 e a segunda em Agosto/2024</t>
  </si>
  <si>
    <t>as empresas devem efetuar dois recolhimentos de R$294,00 fixos, mais adicionais de R$10,00 por empregado existente nas mesmas em 06/2024</t>
  </si>
  <si>
    <t>Empresas devem pagar R$ 390,00 como valor mínimo por empresa.
Empresas que tiverem uma folha de pagamento superior ao valor mínimo devem pagar 10% do total da folha em 31/10/2024.
 O pagamento deve ser feito até 30/11/2024.</t>
  </si>
  <si>
    <t>4% da remuneração bruta dos empregados nos meses de novembro de 2024, fevereiro e abril de 2025.
O valor total não poderá ultrapassar R$ 330,00 por empregado.
O recolhimento deve ser feito até o 5º dia útil do mês subsequente.</t>
  </si>
  <si>
    <t>Taxa Negocial será 4% da remuneração do empregado, limitado a R$ 80,00. 
O desconto será realizado na folha de pagamento de outubro de 2024 e o recolhimento deve ser feito até 11/11/2024.</t>
  </si>
  <si>
    <t>8% da remuneração "per capita", dividido em 2 parcelas iguais de 4%, sendo que cada parcela não poderá ultrapassar R$320,00 por empregado.
primeira parcela será descontada em JULHO/2024 e a segunda parcela em OUTUBRO/2024</t>
  </si>
  <si>
    <t>0 Empregado -  R$238,00 
01 a 05 empregados - R$360,00 
06 a 20 empregados - R$525,00
21 a 50 empregados - R$572,00 
Acima de 50 empregados - R$780,00 
Vencimento em 10 de setembro de 2024</t>
  </si>
  <si>
    <t>Os empregadores deverão descontar de seus empregados, a título de contribuição negocial, um dia de salário base do mês de maio de 2024, referente à data-base 03/2024.</t>
  </si>
  <si>
    <t>R$ 140,00 (cento e quarenta reais), com pagamento até 10/06/2024, referente à data-base março/2024.</t>
  </si>
  <si>
    <t>A taxa será de 6% da remuneração "per capita" do empregado, com o limite de R$ 150,00 por funcionário 
o recolhimento deve ocorrer até o dia 10 do mês seguinte.</t>
  </si>
  <si>
    <t>Sem empregados ou de 1 a 99 empregados: R$ 255,00 
100 ou mais empregados: R$ 500,00</t>
  </si>
  <si>
    <t>valor será equivalente a 1,5% do piso salarial estabelecido na Cláusula 3ª da convenção coletiva de trabalho.
deverá ser recolhido ao sindicato profissional até o dia 10 do mês subsequente ao desconto</t>
  </si>
  <si>
    <t xml:space="preserve">O valor fixo a ser descontado é de R$ 50,00 </t>
  </si>
  <si>
    <t>R$70,00 em parcela única no mês de setembro de 2024</t>
  </si>
  <si>
    <t>MEI R$54,00
ME COM ATÉ 3 EMPREGADOS R$81,00
ME COM MAIS DE 3 ATÉ 6 EMPREGADOS R$216,00
ME COM MAIS DE 6 R$540,00
EPP DE MÉDIO PORTE R$1.081,00
DEMAIS PORTES DE EMPRESA R$2.163,00</t>
  </si>
  <si>
    <t>8% da remuneração ""per capita"", dividido em 2 parcelas iguais de 4%, sendo descontado nos dois meses subsequentes ao fechamento da CCT
o desconto fica limitado ao valor de teto máximo R$80,00</t>
  </si>
  <si>
    <t>anuidade de R$50,00</t>
  </si>
  <si>
    <t>CAPITAL SOCIAL				VALOR DA CONTRIBUIÇÃO
Até R$10.000,00				R$430,00
De R$10.000,01 até R$20.000,00		R$615,00
De R$20.000,01 até R$50.000,00		R$985,00
De R$50.000,01 até R$100.000,00		R$1355,00
De R$100.000,01 até R$150.000,00	R$1660,00
De R$150.000,01 até R$200.000,00	R$2.030,00
De R$200.000,01 até R$300.000,00	R$2.465,00
Acima de R$300.000,00			R$3.080,00
Filia sem capital destacado		R$1355,00
Estabelecimento sem empregado		R$430,00
Microempresas Individuais		R$100,00</t>
  </si>
  <si>
    <t>R$50,00 "per capita", independente da faixa salarial</t>
  </si>
  <si>
    <t>Mensalidade de R$15,00 por empregado</t>
  </si>
  <si>
    <t>A contribuição será calculada sobre a folha de pagamento da empresa nos meses de outubro/2024 e junho/2025, conforme a tabela abaixo:
Nº de Empregados	Contribuição sobre a Folha	Valor Mínimo	Valor Máximo
1 a 100	4%	R$ 250,00	R$ 6.000,00
101 a 500	3%	R$ 6.000,00	R$ 30.000,00
501 a 1000	2%	R$ 30.000,00	R$ 60.000,00
1001 em diante	1%	R$ 60.000,00	R$ 180.000,00
Prazo de Recolhimento:
A contribuição deve ser paga até 10 de novembro de 2024 e 10 de julho de 2025.</t>
  </si>
  <si>
    <t>O desconto será de 4% da remuneração dos empregados, com limite máximo de R$ 80,00 por empregado, nos meses de novembro/2024 e julho/2025.</t>
  </si>
  <si>
    <t>6% sobre a remuneração "per capita" do empregado
sendo que o valor do desconto não poderá exceder R$200,00 por empregado
deverá ser descontado pelo empregador na folha de pagamento do mês de setembro/2024</t>
  </si>
  <si>
    <t xml:space="preserve">
00 a 02 empregados - R$53,00 
03 a 07 empregados - R$97,00
08 a 15 empregados - R$185,00
16 a 25 empregados - R$371,00
26 a 50 empregados - R$554,00 
Acima de 50 empregados - R$727,00 
Mensalidade com vencimento todo dia 20 de cada mês</t>
  </si>
  <si>
    <t>deverá ser descontado nos meses de JUNHO, JULHO, AGOSTO, SETEMBRO, OUTUBRO, NOVEMBRO E DEZEMBRO DE 2024 e nos meses de JANEIRO, FEVEREIRO, MARÇO, ABRIL e MAIO do ano de 2025
o desconto será equivalente a 1,0% da remuneração per capita mensalmente</t>
  </si>
  <si>
    <t>única parcela de R$227,06</t>
  </si>
  <si>
    <t xml:space="preserve">4% da remuneração dos empregados nos meses de NOV/2024 e JUL/2025 limitado ao valor máximo de R$80,00 em cada um dos descontos </t>
  </si>
  <si>
    <t>2% da remuneração per capita de setembro de 2024</t>
  </si>
  <si>
    <t>As empresas são obrigadas a descontar dos empregados a Contribuição Assistencial de 2% sobre a remuneração, com valor máximo de R$ 80,00 por empregado.
O desconto deve ser recolhido até o dia 10 do mês subsequente ao mês do desconto.</t>
  </si>
  <si>
    <t>Microempresas	R$ 761,00
Empresas de Pequeno Porte	R$ 1.574,00
Demais Empresas	R$ 4.371,00
Microempreendedor Individual (MEI)	R$ 205,00
Autônomos / Ambulantes	R$ 390,00
Microempresas e Pequeno Porte:
Para empresas sem empregados, a contribuição será de R$ 390,00.
Parcelamento:
A contribuição pode ser paga em até 2 parcelas.</t>
  </si>
  <si>
    <t>6% da remuneração de cada empregado, limitado a R$ 110,00 (ou R$ 55,00 por parcela) e distribuída em duas parcelas: setembro/2024 e outubro/2024.</t>
  </si>
  <si>
    <t>ME			R$320,00
EPP			R$645,00
Demais empresas		R$1.320,00
MEI com empregados	R$175,00</t>
  </si>
  <si>
    <t>1,5% da remuneração mensal, inclusive do 13 salário</t>
  </si>
  <si>
    <t>As empresas deverão descontar até 2% da remuneração mensal de seus empregados comerciários, com limite de R$ 70,00 por empregado.
O desconto será realizado mensalmente e deverá ser recolhido até o dia 15 do mês subsequente.</t>
  </si>
  <si>
    <t>Microempresas: R$ 336,00
Empresas de Pequeno Porte: R$ 677,00
Demais Empresas: R$ 1.386,00
MEI e Feirantes com Empregados: R$ 184,00</t>
  </si>
  <si>
    <t>1,75% da remuneração mensal limitado ao teto de R$45,00 por empregado</t>
  </si>
  <si>
    <t>Microempresas optantes do simples, com até dez empregados		R$280,00
Microempresas que tenham entre 11 a 35 empregados			R$310,00
Empresas de pequeno e médio porte optante do simples que possuem até 35 empregados vinculados								R$414,00
Demais empresas acima de 35 empregados					R$1.140,00
Empresas sem empregados 						R$156,00
Integrantes da categoria de feirantes, vendedores ambulantes inscritos na prefeitura ISENTOS
Mei's micro empreendedor individual com 1 empregado			R$156,00</t>
  </si>
  <si>
    <t>ME sem empregados			R$400,00
ME com até 03 empregados		R$600,00
ME com acima de 04 empregados		R$800,00
EPP com até 04 empregados		R$920,00
EPP acima de 04 empregados		R$1.050,00
Demais empresas				R$1.800,00
Integrantes da categoria de ambulantes, feirantes e vendedores inscritos somente na prefeitura 	R$250,00</t>
  </si>
  <si>
    <t>1,5% da remuneração mensal dos empregados inclusive do 13 salário</t>
  </si>
  <si>
    <t>3,5% sendo descontado de novembro limitado à R$120,00 por empregado</t>
  </si>
  <si>
    <t>MEI				R$75,00
Empresas com até 1 empregado	R$100,00
Empresas com até 2 empregados	R$190,00
Empresas com até 3 empregados	R$250,00
Empresas com até 5 empregados	R$420,00
Empresas com até 8 empregados	R$670,00
Empresas com até 10 empregados	R$730,00
Empresas com até 15 empregados	R$850,00
Empresas com até 20 empregados	R$1.150,00
Empresas com até 30 empregados	R$1.750,00
Empresas com até 50 empregados	R$2.000,00
Acima de 50 empregados		R$2.200,00</t>
  </si>
  <si>
    <t>A contribuição será de 6% sobre a remuneração “per capita” do empregado.
Limite de valor: O desconto não pode exceder R$ 130,00 por empregado.
Parcelamento: Será cobrado em parcela única, no mês subsequente à deliberação da Assembleia, e o pagamento deve ser feito até o décimo dia do mês seguinte.</t>
  </si>
  <si>
    <t>1,30% de sua remuneração mensal, limitado ao valor de R$40,00 por empregados</t>
  </si>
  <si>
    <t>ME				 2 parcelas de R$150
Empresas de pequeno porte	 2 parcelas de R$280
Demais empresas		 	2 parcelas de R$600
Primeira parcela 10/12/2024
Segunda parcela	 10/06.2025</t>
  </si>
  <si>
    <t>Empresas sem funcionários: R$ 60,00
Microempresa: R$ 152,00
Empresa de Pequeno Porte: R$ 437,00
Geral até 30 funcionários: R$ 2.750,00
Geral de 31 a 50 funcionários: R$ 3.850,00
Geral acima de 51 funcionários: R$ 4.950,00
Agosto de 2024: Recolhimento até 10 de setembro de 2024.
Setembro de 2024: Recolhimento até 10 de outubro de 2024.
Março de 2025: Recolhimento até 10 de abril de 2025.
O pagamento pode ser parcelado em até 3 vezes, com parcela mínima de R$ 50,00.</t>
  </si>
  <si>
    <t>4% sobre o salário de cada empregado.
Meses de desconto:
    AGO/2024, OUT/2024 e DEZ/2024.</t>
  </si>
  <si>
    <t>desconto fixo de R$ 50,00 (cinquenta reais) por empregado, independente da faixa salarial, equivalente a 2,59% do Piso Salarial</t>
  </si>
  <si>
    <t>MEI: R$75,00
Até 1 empregado: R$100,00
Até 2 empregados: R$190,00
Até 3 empregados: R$250,00
Até 5 empregados: R$420,00
Até 8 empregados: R$670,00
Até 10 empregados: R$730,00
Até 12 empregados: R$850,00
Até 20 empregados: R$1.150,00
Até 30 empregados: R$1.750,00
Até 50 empregados: R$2.000,00
Acima de 50 empregados: R$2.200,00</t>
  </si>
  <si>
    <t>VALOR DEFINIDO</t>
  </si>
  <si>
    <t>1,4% da remuneração mensal limitada ao teto de R$60,00 por empregado</t>
  </si>
  <si>
    <t xml:space="preserve">ME, enquadrada no REPIS		R$550
Empresas de pequeno porte, enquadrada no REPIS R$880
MEI, enquadrada no REPIS	R$270
MEI, sem empregado		ISENTO
Demais empresas		 	R$2.135,00
</t>
  </si>
  <si>
    <t>R$30,00 em uma única parcela anual, no mês de fevereiro de 2024, diretamente de sua folha de pagamento</t>
  </si>
  <si>
    <t>MEI: R$75,00
Até 1 empregado: R$100,00
Até 2 empregados: R$200,00
Até 3 empregados: R$270,00
Até 5 empregados: R$420,00
Até 8 empregados: R$670,00
Até 10 empregados: R$730,00
Até 15 empregados: R$850,00
Até 20 empregados: R$1.150,00
Até 30 empregados: R$1.750,00
Até 50 empregados: R$2.000,00
Até 75 empregados: R$2.200,00
Mais de 75 empregados: R$3.000,00
O recolhimento deve ser feito uma vez por ano, até 30 de maio de 2023.</t>
  </si>
  <si>
    <t>A contribuição será recolhida duas vezes por ano, nas datas de 31/03 e 31/08.
MEI: R$75,00
Empresas com 1 empregado: R$100,00
Empresas com 2 empregados: R$200,00
Empresas com 3 empregados: R$270,00
Empresas com 4 a 5 empregados: R$420,00
Empresas com 6 a 8 empregados: R$670,00
Empresas com 9 a 10 empregados: R$730,00
Empresas com 11 a 15 empregados: R$850,00
Empresas com 16 a 20 empregados: R$1.150,00
Empresas com 21 a 30 empregados: R$1.750,00
Empresas com 31 a 50 empregados: R$2.000,00
Empresas com 51 a 75 empregados: R$2.200,00
Empresas com mais de 75 empregados: R$3.000,00</t>
  </si>
  <si>
    <t>Será descontado 5% (cinco por cento) sobre o salário bruto dos empregados nos seguintes meses:
    Novembro/2024
    Julho/2025
    Novembro/2025
    Julho/2026
Limite: O desconto será limitado a R$110,00 por contribuição.</t>
  </si>
  <si>
    <t>6% da remuneração "per capita" limitado a R$150,00 a ser descontado em duas parcelas de cada empregado</t>
  </si>
  <si>
    <t>1 a 15 funcionários		R$200,00
16 a 25	funcionários		R$300,00
26 a 100 funcionários		R$440,00
101 a 200 funcionários		R$550,00
Para empresas que possuem mais de 201 ou mais R$660,00</t>
  </si>
  <si>
    <t>3,5% do salário remuneração no meses de nov/23, mar/24, jun/24 e nov/24</t>
  </si>
  <si>
    <t xml:space="preserve">0 Empregado -  R$100,40 
01 a 05 empregados - R$165,65 
06 a 30 empregados - R$331,50
31 a 70 empregados - R$649,11 
71 a 100 empregados - R$996,50 
Acima de 100 empregados - R$1.083,00 
</t>
  </si>
  <si>
    <t>6% (seis por cento) da remuneração "per-capita" do empregado, limitado a R$150,00 por funcionário
A taxa será descontada em duas parcelas iguais, nos dois meses subsequentes ao fechamento da Convenção Coletiva de Trabalho (CCT).</t>
  </si>
  <si>
    <t>Até 2% da remuneração mensal, com limite de R$ 70,00 por empregado.</t>
  </si>
  <si>
    <t>DOCUMENTO TEM MAIS DE UMA TABELA DE CONTRIBUIÇÃO QUE DEPENDE DA RENDA DA EMPRESA</t>
  </si>
  <si>
    <t xml:space="preserve"> R$ 32,50 por empregado, com um valor mínimo de R$ 325,00 por empresa.</t>
  </si>
  <si>
    <t>Será descontado do trabalhador em parcela única, o valor equivalente à 6% (seis por cento) não poderá exceder R$ 130,00 (cento e trinta reais) por empregado.</t>
  </si>
  <si>
    <t>MEI, sem empregado		ISENTO
MEI, com empregado		R$250,00
ME				R$500,00
EPP				R$750,00
Demais estabelecimentos com até 20 empregados R$950,00
Demais estabelecimentos com mais de 20 empregados R$1.900,00</t>
  </si>
  <si>
    <t>1,5% da remuneração mensal limitado ao teto de R$65,00</t>
  </si>
  <si>
    <t>A contribuição negocial é de 12% da remuneração total dos empregados, dividida em três parcelas:
    Primeira Parcela: 4% sobre a remuneração de dezembro de 2023, limitado a R$ 75,00.
    Segunda Parcela: 4% sobre a remuneração de janeiro de 2024, limitado a R$ 75,00.
    Terceira Parcela: 4% sobre a remuneração de fevereiro de 2024, limitado a R$ 75,00.</t>
  </si>
  <si>
    <t>Sem empregados: R$ 43,72.
1 a 5 empregados: R$ 69,96.
6 a 10 empregados: R$ 131,17.
Mais de 11 empregados: R$ 174,90.</t>
  </si>
  <si>
    <t>A cota será descontada de todos os empregados, associados ou não, no valor de 0,98% do salário base dos trabalhadores.</t>
  </si>
  <si>
    <t>MEI: R$ 75,00
Empresas com 1 empregado: R$ 100,00
Empresas com 2 empregados: R$ 200,00
Empresas com 3 empregados: R$ 270,00
Empresas com 4 a 5 empregados: R$ 420,00
Empresas com 6 a 8 empregados: R$ 670,00
Empresas com 9 a 10 empregados: R$ 730,00
Empresas com 11 a 15 empregados: R$ 850,00
Empresas com 16 a 20 empregados: R$ 1.150,00
Empresas com 21 a 30 empregados: R$ 1.750,00
Empresas com 31 a 50 empregados: R$ 2.000,00
Empresas com 51 a 75 empregados: R$ 2.200,00
Empresas com mais de 75 empregados: R$ 3.000,00</t>
  </si>
  <si>
    <t>1,5% da remuneração mensal limitado ao teto de R$120,00</t>
  </si>
  <si>
    <t>ME				 R$450
Empresas de pequeno porte	 R$900
Demais empresas		 	 R$1.800</t>
  </si>
  <si>
    <t>O desconto será de 1,25% da remuneração mensal do empregado, com limite de R$ 80,00 por comerciário.</t>
  </si>
  <si>
    <t>Estabelecimento de Microempreendedor Individual – MEI	R$ 330,00
Estabelecimento de Microempresa – ME	R$ 670,00
Estabelecimento de Pequeno Porte – EPP	R$ 1.080,00
Estabelecimento de Grande Porte – até 20 colaboradores	R$ 1.570,00
Estabelecimento de Grande Porte – mais de 20 colaboradores	R$ 2.320,00</t>
  </si>
  <si>
    <t>O valor a ser descontado mensalmente de cada empregado será R$ 20,00.
O recolhimento da contribuição deverá ser feito nos seguintes prazo de vencimento (até o dia mencionado de cada mês):
    10 de janeiro de 2024
    12 de fevereiro de 2024
    11 de março de 2024
    10 de abril de 2024
    10 de maio de 2024
    10 de junho de 2024
    10 de julho de 2024
    12 de agosto de 2024
    10 de setembro de 2024
    10 de outubro de 2024
    11 de novembro de 2024
    10 de dezembro de 2024</t>
  </si>
  <si>
    <t>MEI – Microempreendedor Individual	R$ 50,00
Empresas com 1 empregado	R$ 75,00
Empresas com 2 empregados	R$ 100,00
Empresas com 3 a 5 empregados	R$ 250,00
Empresas com 6 a 10 empregados	R$ 400,00
Empresas com 11 a 15 empregados	R$ 600,00
Empresas com 16 a 20 empregados	R$ 800,00
Empresas com 21 a 30 empregados	R$ 1.200,00
Empresas com 31 a 50 empregados	R$ 1.750,00
Empresas com mais de 50 empregados	R$ 2.250,00
Prazos de Recolhimento:
    As contribuições devem ser pagas em duas parcelas anuais, nos seguintes prazos:
        31 de maio de 2024
        30 de setembro de 2024</t>
  </si>
  <si>
    <t>6% da remuneração per capita de cada trabalhador no mês de novembro de 2024, com limite máximo de R$ 130,00 por empregado.</t>
  </si>
  <si>
    <t>R$ 227,06 por filial estabelecida na base do sindicato patronal.</t>
  </si>
  <si>
    <t>2% da sua remuneração mensal limitado ao teto de R$70,00 por empregado</t>
  </si>
  <si>
    <t>Faturamento bruto do exercício anterior		VALOR
até 360 mil microempresas - me			R$478,00
acima de 360 mil até 3,6 milhões, empresas pequeno porte R$898,00
acima de 3,6 milhões, demais empresas		R$1.998,00
MEI						R$180,00</t>
  </si>
  <si>
    <t>CAPITAL SOCIAL  	VALOR
De 1.000,00 a 10.000,00	R$ 105,00
De 10.001,00 a 20.000,00	R$ 143,00
De 20.001,00 a 40.000,00	R$ 156,00
De 40.001,00 a 80.000,00	R$ 166,00
De 80.001,00 a 100.000,00	R$ 205,00
Acima de 100.001,00	R$ 268,00</t>
  </si>
  <si>
    <t>um dia de salário dos seus empregados, no mês de março/2024
O valor mínimo a ser pago é R$ 150,00, independentemente do número de empregados da empresa.</t>
  </si>
  <si>
    <t>5% da folha, deve ser pago até o dia 15 de outubro 2024. Pagamento mínimo de R$225,00</t>
  </si>
  <si>
    <t>Desconto de 6% da remuneração, limitado a R$ 110,00, em duas parcelas (setembro e outubro).</t>
  </si>
  <si>
    <t>1 (um) dia da remuneração do mês de maio de 2024 e 1 (um) dia da remuneração do mês de julho de 2024</t>
  </si>
  <si>
    <t>Dois dias de salário de todos os seus empregados. Nenhuma empresa pode pagar valor inferior a R$ 174,00.</t>
  </si>
  <si>
    <t>a importância equivalente a 5% (cinco por cento) da folha de pagamento das empresas do mês de MAIO/2024, com pagamento até 10/06/2024 e 5% (cinco por cento) da folha de pagamento do mês de JULHO/2024</t>
  </si>
  <si>
    <t>4% do salário percebido.</t>
  </si>
  <si>
    <t>8% da remuneração total do empregado.  1ª parcela: 4% do salário de dezembro de 2023, limitado a R$ 75,00 por empregado.   2ª parcela: 4% do salário de janeiro de 2024, também limitado a R$ 75,00 por empregado.  1ª parcela: Recolhimento até 10 de janeiro de 2024. 2ª parcela: Recolhimento até 12 de fevereiro de 2024.</t>
  </si>
  <si>
    <t>a importância equivalente a 5% (cinco por cento) da folha de pagamento das empresas do mês de JULHO/2023, com pagamento até 10/08/2023 e 5% (cinco por cento) da folha de pagamento do mês de AGOSTO/2023, com pagamento até 11/09/2023</t>
  </si>
  <si>
    <t>1,5% da remuneração do empregado (salário base, horas extraordinárias, abonos, adicionais, comissões, etc.), com um teto máximo de R$ 38,00 por empregado.</t>
  </si>
  <si>
    <t>R$ 30,00 por empregado em uma única parcela</t>
  </si>
  <si>
    <t>MAMBORÊ</t>
  </si>
  <si>
    <t>CATANDUVAS</t>
  </si>
  <si>
    <t xml:space="preserve">CERRO GRANDE DO SUL </t>
  </si>
  <si>
    <t>2 (dois) dias da remuneração do trabalhador “per
capita”, até o limite do valor equivalente a 2/30 (dois trinta avos)</t>
  </si>
  <si>
    <t>R$ 30,00 (trinta reais) por empregado</t>
  </si>
  <si>
    <t>12% (doze por cento) da remuneração total dos
empregados, sendo que este percentual será dividido em três parcelas: a primeira de 4% (quatro por cento) a ser
descontada do total da remuneração dos meses de junho de 2023, setembro de 2023, novembro de 2023. 
Todas limitadas a R$75,00 por empregados.</t>
  </si>
  <si>
    <t>10% (dez por cento) da folha de pagamento das empresas do mês
de junho de 2023, com pagamento até 31 de julho de 2023</t>
  </si>
  <si>
    <t xml:space="preserve">
1,5% da remuneração "per capita" mensalmente</t>
  </si>
  <si>
    <t>1 parcela anual de R$208,00</t>
  </si>
  <si>
    <t xml:space="preserve">
De 0 a 5 funcionários: R$ 152,00 
De 6 a 10 funcionários: R$ 248,00 
De 11 a 20 funcionários: R$ 345,00 
De 21 a 30 funcionários: R$ 442,00 
Acima de 30 funcionários: R$ 510,00 </t>
  </si>
  <si>
    <t>2% do mês de agosto/2024 e 2% do mês de novembro/2024 como limite de R$100,00 por empregado a cada desconto</t>
  </si>
  <si>
    <t>UF</t>
  </si>
  <si>
    <t>Município</t>
  </si>
  <si>
    <t>SP</t>
  </si>
  <si>
    <t>Adamantina</t>
  </si>
  <si>
    <t>Adolfo</t>
  </si>
  <si>
    <t>Aguaí</t>
  </si>
  <si>
    <t>Águas da Prata</t>
  </si>
  <si>
    <t>Águas de Lindóia</t>
  </si>
  <si>
    <t>Águas de Santa Bárbara</t>
  </si>
  <si>
    <t>Águas de São Pedro</t>
  </si>
  <si>
    <t>Agudos</t>
  </si>
  <si>
    <t>Alambari</t>
  </si>
  <si>
    <t>Alfredo Marcondes</t>
  </si>
  <si>
    <t>Altair</t>
  </si>
  <si>
    <t>Altinópolis</t>
  </si>
  <si>
    <t>Alto Alegre</t>
  </si>
  <si>
    <t>Alumínio</t>
  </si>
  <si>
    <t>Álvares Florence</t>
  </si>
  <si>
    <t>Álvares Machado</t>
  </si>
  <si>
    <t>Álvaro de Carvalho</t>
  </si>
  <si>
    <t>Alvinlândia</t>
  </si>
  <si>
    <t>Americana</t>
  </si>
  <si>
    <t>Américo Brasiliense</t>
  </si>
  <si>
    <t>Américo de Campos</t>
  </si>
  <si>
    <t>Amparo</t>
  </si>
  <si>
    <t>Analândia</t>
  </si>
  <si>
    <t>Andradina</t>
  </si>
  <si>
    <t>Angatuba</t>
  </si>
  <si>
    <t>Anhembi</t>
  </si>
  <si>
    <t>Anhumas</t>
  </si>
  <si>
    <t>Aparecida</t>
  </si>
  <si>
    <t>Aparecida D´oeste</t>
  </si>
  <si>
    <t>Apiaí</t>
  </si>
  <si>
    <t>Araçariguama</t>
  </si>
  <si>
    <t>Araçatuba</t>
  </si>
  <si>
    <t>Araçoiaba da Serra</t>
  </si>
  <si>
    <t>Aramina</t>
  </si>
  <si>
    <t>Arandu</t>
  </si>
  <si>
    <t>Arapeí</t>
  </si>
  <si>
    <t>Araraquara</t>
  </si>
  <si>
    <t>Araras</t>
  </si>
  <si>
    <t>Arco-íris</t>
  </si>
  <si>
    <t>Arealva</t>
  </si>
  <si>
    <t>Areias</t>
  </si>
  <si>
    <t>Areiópolis</t>
  </si>
  <si>
    <t>Ariranha</t>
  </si>
  <si>
    <t>Artur Nogueira</t>
  </si>
  <si>
    <t>Arujá</t>
  </si>
  <si>
    <t>Aspásia</t>
  </si>
  <si>
    <t>Assis</t>
  </si>
  <si>
    <t>Atibaia</t>
  </si>
  <si>
    <t>Auriflama</t>
  </si>
  <si>
    <t>Avaí</t>
  </si>
  <si>
    <t>Avanhandava</t>
  </si>
  <si>
    <t>Avaré</t>
  </si>
  <si>
    <t>Bady Bassitt</t>
  </si>
  <si>
    <t>Balbinos</t>
  </si>
  <si>
    <t>Bálsamo</t>
  </si>
  <si>
    <t>Bananal</t>
  </si>
  <si>
    <t>Barão de Antonina</t>
  </si>
  <si>
    <t>Barbosa</t>
  </si>
  <si>
    <t>Bariri</t>
  </si>
  <si>
    <t>Barra Bonita</t>
  </si>
  <si>
    <t>Barra do Chapéu</t>
  </si>
  <si>
    <t>Barra do Turvo</t>
  </si>
  <si>
    <t>Barretos</t>
  </si>
  <si>
    <t>Barrinha</t>
  </si>
  <si>
    <t>Barueri</t>
  </si>
  <si>
    <t>Bastos</t>
  </si>
  <si>
    <t>Batatais</t>
  </si>
  <si>
    <t>Bauru</t>
  </si>
  <si>
    <t>Bebedouro</t>
  </si>
  <si>
    <t>Bento de Abreu</t>
  </si>
  <si>
    <t>Bernardino de Campos</t>
  </si>
  <si>
    <t>Bertioga</t>
  </si>
  <si>
    <t>Bilac</t>
  </si>
  <si>
    <t>Birigui</t>
  </si>
  <si>
    <t>Biritiba-mirim</t>
  </si>
  <si>
    <t>Boa Esperança do Sul</t>
  </si>
  <si>
    <t>Bocaina</t>
  </si>
  <si>
    <t>Bofete</t>
  </si>
  <si>
    <t>Boituva</t>
  </si>
  <si>
    <t>Bom Jesus Dos Perdões</t>
  </si>
  <si>
    <t>Bom Sucesso de Itararé</t>
  </si>
  <si>
    <t>Borá</t>
  </si>
  <si>
    <t>Boracéia</t>
  </si>
  <si>
    <t>Borborema</t>
  </si>
  <si>
    <t>Borebi</t>
  </si>
  <si>
    <t>Botucatu</t>
  </si>
  <si>
    <t>Bragança Paulista</t>
  </si>
  <si>
    <t>Braúna</t>
  </si>
  <si>
    <t>Brejo Alegre</t>
  </si>
  <si>
    <t>Brodowski</t>
  </si>
  <si>
    <t>Brotas</t>
  </si>
  <si>
    <t>Buri</t>
  </si>
  <si>
    <t>Buritama</t>
  </si>
  <si>
    <t>Buritizal</t>
  </si>
  <si>
    <t>Cabrália Paulista</t>
  </si>
  <si>
    <t>Cabreúva</t>
  </si>
  <si>
    <t>Caçapava</t>
  </si>
  <si>
    <t>Cachoeira Paulista</t>
  </si>
  <si>
    <t>Caconde</t>
  </si>
  <si>
    <t>Cafelândia</t>
  </si>
  <si>
    <t>Caiabu</t>
  </si>
  <si>
    <t>Caieiras</t>
  </si>
  <si>
    <t>Caiuá</t>
  </si>
  <si>
    <t>Cajamar</t>
  </si>
  <si>
    <t>Cajati</t>
  </si>
  <si>
    <t>Cajobi</t>
  </si>
  <si>
    <t>Cajuru</t>
  </si>
  <si>
    <t>Campina do Monte Alegre</t>
  </si>
  <si>
    <t>Campinas</t>
  </si>
  <si>
    <t>Campo Limpo Paulista</t>
  </si>
  <si>
    <t>Campos do Jordão</t>
  </si>
  <si>
    <t>Campos Novos Paulista</t>
  </si>
  <si>
    <t>Cananéia</t>
  </si>
  <si>
    <t>Canas</t>
  </si>
  <si>
    <t>Cândido Mota</t>
  </si>
  <si>
    <t>Cândido Rodrigues</t>
  </si>
  <si>
    <t>Canitar</t>
  </si>
  <si>
    <t>Capão Bonito</t>
  </si>
  <si>
    <t>Capela do Alto</t>
  </si>
  <si>
    <t>Capivari</t>
  </si>
  <si>
    <t>Caraguatatuba</t>
  </si>
  <si>
    <t>Carapicuíba</t>
  </si>
  <si>
    <t>Cardoso</t>
  </si>
  <si>
    <t>Casa Branca</t>
  </si>
  <si>
    <t>Cássia Dos Coqueiros</t>
  </si>
  <si>
    <t>Castilho</t>
  </si>
  <si>
    <t>Catanduva</t>
  </si>
  <si>
    <t>Catiguá</t>
  </si>
  <si>
    <t>Cedral</t>
  </si>
  <si>
    <t>Cerqueira César</t>
  </si>
  <si>
    <t>Cerquilho</t>
  </si>
  <si>
    <t>Cesário Lange</t>
  </si>
  <si>
    <t>Charqueada</t>
  </si>
  <si>
    <t>Clementina</t>
  </si>
  <si>
    <t>Colina</t>
  </si>
  <si>
    <t>Colômbia</t>
  </si>
  <si>
    <t>Conchal</t>
  </si>
  <si>
    <t>Conchas</t>
  </si>
  <si>
    <t>Cordeirópolis</t>
  </si>
  <si>
    <t>Coroados</t>
  </si>
  <si>
    <t>Coronel Macedo</t>
  </si>
  <si>
    <t>Corumbataí</t>
  </si>
  <si>
    <t>Cosmópolis</t>
  </si>
  <si>
    <t>Cosmorama</t>
  </si>
  <si>
    <t>Cotia</t>
  </si>
  <si>
    <t>Cravinhos</t>
  </si>
  <si>
    <t>Cristais Paulista</t>
  </si>
  <si>
    <t>Cruzália</t>
  </si>
  <si>
    <t>Cruzeiro</t>
  </si>
  <si>
    <t>Cubatão</t>
  </si>
  <si>
    <t>Cunha</t>
  </si>
  <si>
    <t>Descalvado</t>
  </si>
  <si>
    <t>Diadema</t>
  </si>
  <si>
    <t>Dirce Reis</t>
  </si>
  <si>
    <t>Divinolândia</t>
  </si>
  <si>
    <t>Dobrada</t>
  </si>
  <si>
    <t>Dois Córregos</t>
  </si>
  <si>
    <t>Dolcinópolis</t>
  </si>
  <si>
    <t>Dourado</t>
  </si>
  <si>
    <t>Dracena</t>
  </si>
  <si>
    <t>Duartina</t>
  </si>
  <si>
    <t>Dumont</t>
  </si>
  <si>
    <t>Echaporã</t>
  </si>
  <si>
    <t>Eldorado</t>
  </si>
  <si>
    <t>Elias Fausto</t>
  </si>
  <si>
    <t>Elisiário</t>
  </si>
  <si>
    <t>Embaúba</t>
  </si>
  <si>
    <t>Embu</t>
  </si>
  <si>
    <t>Embu-guaçu</t>
  </si>
  <si>
    <t>Emilianópolis</t>
  </si>
  <si>
    <t>Engenheiro Coelho</t>
  </si>
  <si>
    <t>Espírito Santo do Pinhal</t>
  </si>
  <si>
    <t>Espírito Santo do Turvo</t>
  </si>
  <si>
    <t>Estrela D´oeste</t>
  </si>
  <si>
    <t>Estrela do Norte</t>
  </si>
  <si>
    <t>Euclides da Cunha Paulista</t>
  </si>
  <si>
    <t>Fartura</t>
  </si>
  <si>
    <t>Fernandópolis</t>
  </si>
  <si>
    <t>Fernando Prestes</t>
  </si>
  <si>
    <t>Fernão</t>
  </si>
  <si>
    <t>Ferraz de Vasconcelos</t>
  </si>
  <si>
    <t>Flora Rica</t>
  </si>
  <si>
    <t>Floreal</t>
  </si>
  <si>
    <t>Flórida Paulista</t>
  </si>
  <si>
    <t>Florínia</t>
  </si>
  <si>
    <t>Franca</t>
  </si>
  <si>
    <t>Francisco Morato</t>
  </si>
  <si>
    <t>Franco da Rocha</t>
  </si>
  <si>
    <t>Gabriel Monteiro</t>
  </si>
  <si>
    <t>Gália</t>
  </si>
  <si>
    <t>Garça</t>
  </si>
  <si>
    <t>Gastão Vidigal</t>
  </si>
  <si>
    <t>Gavião Peixoto</t>
  </si>
  <si>
    <t>General Salgado</t>
  </si>
  <si>
    <t>Getulina</t>
  </si>
  <si>
    <t>Glicério</t>
  </si>
  <si>
    <t>Guaiçara</t>
  </si>
  <si>
    <t>Guaimbê</t>
  </si>
  <si>
    <t>Guaíra</t>
  </si>
  <si>
    <t>Guapiaçu</t>
  </si>
  <si>
    <t>Guapiara</t>
  </si>
  <si>
    <t>Guará</t>
  </si>
  <si>
    <t>Guaraçaí</t>
  </si>
  <si>
    <t>Guaraci</t>
  </si>
  <si>
    <t>Guarani D´oeste</t>
  </si>
  <si>
    <t>Guarantã</t>
  </si>
  <si>
    <t>Guararapes</t>
  </si>
  <si>
    <t>Guararema</t>
  </si>
  <si>
    <t>Guaratinguetá</t>
  </si>
  <si>
    <t>Guareí</t>
  </si>
  <si>
    <t>Guariba</t>
  </si>
  <si>
    <t>Guarujá</t>
  </si>
  <si>
    <t>Guarulhos</t>
  </si>
  <si>
    <t>Guatapará</t>
  </si>
  <si>
    <t>Guzolândia</t>
  </si>
  <si>
    <t>Herculândia</t>
  </si>
  <si>
    <t>Holambra</t>
  </si>
  <si>
    <t>Hortolândia</t>
  </si>
  <si>
    <t>Iacanga</t>
  </si>
  <si>
    <t>Iacri</t>
  </si>
  <si>
    <t>Iaras</t>
  </si>
  <si>
    <t>Ibaté</t>
  </si>
  <si>
    <t>Ibirá</t>
  </si>
  <si>
    <t>Ibirarema</t>
  </si>
  <si>
    <t>Ibitinga</t>
  </si>
  <si>
    <t>Ibiúna</t>
  </si>
  <si>
    <t>Icém</t>
  </si>
  <si>
    <t>Iepê</t>
  </si>
  <si>
    <t>Igaraçu do Tietê</t>
  </si>
  <si>
    <t>Igarapava</t>
  </si>
  <si>
    <t>Igaratá</t>
  </si>
  <si>
    <t>Iguape</t>
  </si>
  <si>
    <t>Ilhabela</t>
  </si>
  <si>
    <t>Ilha Comprida</t>
  </si>
  <si>
    <t>Ilha Solteira</t>
  </si>
  <si>
    <t>Indaiatuba</t>
  </si>
  <si>
    <t>Indiana</t>
  </si>
  <si>
    <t>Indiaporã</t>
  </si>
  <si>
    <t>Inúbia Paulista</t>
  </si>
  <si>
    <t>Ipaussu</t>
  </si>
  <si>
    <t>Iperó</t>
  </si>
  <si>
    <t>Ipeúna</t>
  </si>
  <si>
    <t>Ipiguá</t>
  </si>
  <si>
    <t>Iporanga</t>
  </si>
  <si>
    <t>Ipuã</t>
  </si>
  <si>
    <t>Iracemápolis</t>
  </si>
  <si>
    <t>Irapuã</t>
  </si>
  <si>
    <t>Irapuru</t>
  </si>
  <si>
    <t>Itaberá</t>
  </si>
  <si>
    <t>Itaí</t>
  </si>
  <si>
    <t>Itajobi</t>
  </si>
  <si>
    <t>Itaju</t>
  </si>
  <si>
    <t>Itanhaém</t>
  </si>
  <si>
    <t>Itaóca</t>
  </si>
  <si>
    <t>Itapecerica da Serra</t>
  </si>
  <si>
    <t>Itapetininga</t>
  </si>
  <si>
    <t>Itapeva</t>
  </si>
  <si>
    <t>Itapevi</t>
  </si>
  <si>
    <t>Itapira</t>
  </si>
  <si>
    <t>Itapirapuã Paulista</t>
  </si>
  <si>
    <t>Itápolis</t>
  </si>
  <si>
    <t>Itaporanga</t>
  </si>
  <si>
    <t>Itapuí</t>
  </si>
  <si>
    <t>Itapura</t>
  </si>
  <si>
    <t>Itaquaquecetuba</t>
  </si>
  <si>
    <t>Itararé</t>
  </si>
  <si>
    <t>Itariri</t>
  </si>
  <si>
    <t>Itatiba</t>
  </si>
  <si>
    <t>Itatinga</t>
  </si>
  <si>
    <t>Itirapina</t>
  </si>
  <si>
    <t>Itirapuã</t>
  </si>
  <si>
    <t>Itobi</t>
  </si>
  <si>
    <t>Itu</t>
  </si>
  <si>
    <t>Itupeva</t>
  </si>
  <si>
    <t>Ituverava</t>
  </si>
  <si>
    <t>Jaborandi</t>
  </si>
  <si>
    <t>Jaboticabal</t>
  </si>
  <si>
    <t>Jacareí</t>
  </si>
  <si>
    <t>Jaci</t>
  </si>
  <si>
    <t>Jacupiranga</t>
  </si>
  <si>
    <t>Jaguariúna</t>
  </si>
  <si>
    <t>Jales</t>
  </si>
  <si>
    <t>Jambeiro</t>
  </si>
  <si>
    <t>Jandira</t>
  </si>
  <si>
    <t>Jardinópolis</t>
  </si>
  <si>
    <t>Jarinu</t>
  </si>
  <si>
    <t>Jaú</t>
  </si>
  <si>
    <t>Jeriquara</t>
  </si>
  <si>
    <t>Joanópolis</t>
  </si>
  <si>
    <t>João Ramalho</t>
  </si>
  <si>
    <t>José Bonifácio</t>
  </si>
  <si>
    <t>Júlio Mesquita</t>
  </si>
  <si>
    <t>Jumirim</t>
  </si>
  <si>
    <t>Jundiaí</t>
  </si>
  <si>
    <t>Junqueirópolis</t>
  </si>
  <si>
    <t>Juquiá</t>
  </si>
  <si>
    <t>Juquitiba</t>
  </si>
  <si>
    <t>Lagoinha</t>
  </si>
  <si>
    <t>Laranjal Paulista</t>
  </si>
  <si>
    <t>Lavínia</t>
  </si>
  <si>
    <t>Lavrinhas</t>
  </si>
  <si>
    <t>Leme</t>
  </si>
  <si>
    <t>Lençóis Paulista</t>
  </si>
  <si>
    <t>Limeira</t>
  </si>
  <si>
    <t>Lindóia</t>
  </si>
  <si>
    <t>Lins</t>
  </si>
  <si>
    <t>Lorena</t>
  </si>
  <si>
    <t>Lourdes</t>
  </si>
  <si>
    <t>Louveira</t>
  </si>
  <si>
    <t>Lucélia</t>
  </si>
  <si>
    <t>Lucianópolis</t>
  </si>
  <si>
    <t>Luís Antônio</t>
  </si>
  <si>
    <t>Luiziânia</t>
  </si>
  <si>
    <t>Lupércio</t>
  </si>
  <si>
    <t>Lutécia</t>
  </si>
  <si>
    <t>Macatuba</t>
  </si>
  <si>
    <t>Macaubal</t>
  </si>
  <si>
    <t>Macedônia</t>
  </si>
  <si>
    <t>Magda</t>
  </si>
  <si>
    <t>Mairinque</t>
  </si>
  <si>
    <t>Mairiporã</t>
  </si>
  <si>
    <t>Manduri</t>
  </si>
  <si>
    <t>Marabá Paulista</t>
  </si>
  <si>
    <t>Maracaí</t>
  </si>
  <si>
    <t>Marapoama</t>
  </si>
  <si>
    <t>Mariápolis</t>
  </si>
  <si>
    <t>Marília</t>
  </si>
  <si>
    <t>Marinópolis</t>
  </si>
  <si>
    <t>Martinópolis</t>
  </si>
  <si>
    <t>Matão</t>
  </si>
  <si>
    <t>Mauá</t>
  </si>
  <si>
    <t>Mendonça</t>
  </si>
  <si>
    <t>Meridiano</t>
  </si>
  <si>
    <t>Mesópolis</t>
  </si>
  <si>
    <t>Miguelópolis</t>
  </si>
  <si>
    <t>Mineiros do Tietê</t>
  </si>
  <si>
    <t>Miracatu</t>
  </si>
  <si>
    <t>Mira Estrela</t>
  </si>
  <si>
    <t>Mirandópolis</t>
  </si>
  <si>
    <t>Mirante do Paranapanema</t>
  </si>
  <si>
    <t>Mirassol</t>
  </si>
  <si>
    <t>Mirassolândia</t>
  </si>
  <si>
    <t>Mococa</t>
  </si>
  <si>
    <t>Moji Das Cruzes</t>
  </si>
  <si>
    <t>Mogi Guaçu</t>
  </si>
  <si>
    <t>Moji-mirim</t>
  </si>
  <si>
    <t>Mombuca</t>
  </si>
  <si>
    <t>Monções</t>
  </si>
  <si>
    <t>Mongaguá</t>
  </si>
  <si>
    <t>Monte Alegre do Sul</t>
  </si>
  <si>
    <t>Monte Alto</t>
  </si>
  <si>
    <t>Monte Aprazível</t>
  </si>
  <si>
    <t>Monte Azul Paulista</t>
  </si>
  <si>
    <t>Monte Castelo</t>
  </si>
  <si>
    <t>Monteiro Lobato</t>
  </si>
  <si>
    <t>Monte Mor</t>
  </si>
  <si>
    <t>Morro Agudo</t>
  </si>
  <si>
    <t>Morungaba</t>
  </si>
  <si>
    <t>Motuca</t>
  </si>
  <si>
    <t>Murutinga do Sul</t>
  </si>
  <si>
    <t>Nantes</t>
  </si>
  <si>
    <t>Narandiba</t>
  </si>
  <si>
    <t>Natividade da Serra</t>
  </si>
  <si>
    <t>Nazaré Paulista</t>
  </si>
  <si>
    <t>Neves Paulista</t>
  </si>
  <si>
    <t>Nhandeara</t>
  </si>
  <si>
    <t>Nipoã</t>
  </si>
  <si>
    <t>Nova Aliança</t>
  </si>
  <si>
    <t>Nova Campina</t>
  </si>
  <si>
    <t>Nova Canaã Paulista</t>
  </si>
  <si>
    <t>Nova Castilho</t>
  </si>
  <si>
    <t>Nova Europa</t>
  </si>
  <si>
    <t>Nova Granada</t>
  </si>
  <si>
    <t>Nova Guataporanga</t>
  </si>
  <si>
    <t>Nova Independência</t>
  </si>
  <si>
    <t>Novais</t>
  </si>
  <si>
    <t>Nova Luzitânia</t>
  </si>
  <si>
    <t>Nova Odessa</t>
  </si>
  <si>
    <t>Novo Horizonte</t>
  </si>
  <si>
    <t>Nuporanga</t>
  </si>
  <si>
    <t>Ocauçu</t>
  </si>
  <si>
    <t>Óleo</t>
  </si>
  <si>
    <t>Olímpia</t>
  </si>
  <si>
    <t>Onda Verde</t>
  </si>
  <si>
    <t>Oriente</t>
  </si>
  <si>
    <t>Orindiúva</t>
  </si>
  <si>
    <t>Orlândia</t>
  </si>
  <si>
    <t>Osasco</t>
  </si>
  <si>
    <t>Oscar Bressane</t>
  </si>
  <si>
    <t>Osvaldo Cruz</t>
  </si>
  <si>
    <t>Ourinhos</t>
  </si>
  <si>
    <t>Ouroeste</t>
  </si>
  <si>
    <t>Ouro Verde</t>
  </si>
  <si>
    <t>Pacaembu</t>
  </si>
  <si>
    <t>Palestina</t>
  </si>
  <si>
    <t>Palmares Paulista</t>
  </si>
  <si>
    <t>Palmeira D´oeste</t>
  </si>
  <si>
    <t>Palmital</t>
  </si>
  <si>
    <t>Panorama</t>
  </si>
  <si>
    <t>Paraguaçu Paulista</t>
  </si>
  <si>
    <t>Paraibuna</t>
  </si>
  <si>
    <t>Paraíso</t>
  </si>
  <si>
    <t>Paranapanema</t>
  </si>
  <si>
    <t>Paranapuã</t>
  </si>
  <si>
    <t>Parapuã</t>
  </si>
  <si>
    <t>Pardinho</t>
  </si>
  <si>
    <t>Pariquera-açu</t>
  </si>
  <si>
    <t>Parisi</t>
  </si>
  <si>
    <t>Patrocínio Paulista</t>
  </si>
  <si>
    <t>Paulicéia</t>
  </si>
  <si>
    <t>Paulínia</t>
  </si>
  <si>
    <t>Paulistânia</t>
  </si>
  <si>
    <t>Paulo de Faria</t>
  </si>
  <si>
    <t>Pederneiras</t>
  </si>
  <si>
    <t>Pedra Bela</t>
  </si>
  <si>
    <t>Pedranópolis</t>
  </si>
  <si>
    <t>Pedregulho</t>
  </si>
  <si>
    <t>Pedreira</t>
  </si>
  <si>
    <t>Pedrinhas Paulista</t>
  </si>
  <si>
    <t>Pedro de Toledo</t>
  </si>
  <si>
    <t>Penápolis</t>
  </si>
  <si>
    <t>Pereira Barreto</t>
  </si>
  <si>
    <t>Pereiras</t>
  </si>
  <si>
    <t>Peruíbe</t>
  </si>
  <si>
    <t>Piacatu</t>
  </si>
  <si>
    <t>Piedade</t>
  </si>
  <si>
    <t>Pilar do Sul</t>
  </si>
  <si>
    <t>Pindamonhangaba</t>
  </si>
  <si>
    <t>Pindorama</t>
  </si>
  <si>
    <t>Pinhalzinho</t>
  </si>
  <si>
    <t>Piquerobi</t>
  </si>
  <si>
    <t>Piquete</t>
  </si>
  <si>
    <t>Piracaia</t>
  </si>
  <si>
    <t>Piracicaba</t>
  </si>
  <si>
    <t>Piraju</t>
  </si>
  <si>
    <t>Pirajuí</t>
  </si>
  <si>
    <t>Pirangi</t>
  </si>
  <si>
    <t>Pirapora do Bom Jesus</t>
  </si>
  <si>
    <t>Pirapozinho</t>
  </si>
  <si>
    <t>Pirassununga</t>
  </si>
  <si>
    <t>Piratininga</t>
  </si>
  <si>
    <t>Pitangueiras</t>
  </si>
  <si>
    <t>Planalto</t>
  </si>
  <si>
    <t>Platina</t>
  </si>
  <si>
    <t>Poá</t>
  </si>
  <si>
    <t>Poloni</t>
  </si>
  <si>
    <t>Pompéia</t>
  </si>
  <si>
    <t>Pongaí</t>
  </si>
  <si>
    <t>Pontal</t>
  </si>
  <si>
    <t>Pontalinda</t>
  </si>
  <si>
    <t>Pontes Gestal</t>
  </si>
  <si>
    <t>Populina</t>
  </si>
  <si>
    <t>Porangaba</t>
  </si>
  <si>
    <t>Porto Feliz</t>
  </si>
  <si>
    <t>Porto Ferreira</t>
  </si>
  <si>
    <t>Potim</t>
  </si>
  <si>
    <t>Potirendaba</t>
  </si>
  <si>
    <t>Pracinha</t>
  </si>
  <si>
    <t>Pradópolis</t>
  </si>
  <si>
    <t>Praia Grande</t>
  </si>
  <si>
    <t>Pratânia</t>
  </si>
  <si>
    <t>Presidente Alves</t>
  </si>
  <si>
    <t>Presidente Bernardes</t>
  </si>
  <si>
    <t>Presidente Epitácio</t>
  </si>
  <si>
    <t>Presidente Prudente</t>
  </si>
  <si>
    <t>Presidente Venceslau</t>
  </si>
  <si>
    <t>Promissão</t>
  </si>
  <si>
    <t>Quadra</t>
  </si>
  <si>
    <t>Quatá</t>
  </si>
  <si>
    <t>Queiroz</t>
  </si>
  <si>
    <t>Queluz</t>
  </si>
  <si>
    <t>Quintana</t>
  </si>
  <si>
    <t>Rafard</t>
  </si>
  <si>
    <t>Rancharia</t>
  </si>
  <si>
    <t>Redenção da Serra</t>
  </si>
  <si>
    <t>Regente Feijó</t>
  </si>
  <si>
    <t>Reginópolis</t>
  </si>
  <si>
    <t>Registro</t>
  </si>
  <si>
    <t>Restinga</t>
  </si>
  <si>
    <t>Ribeira</t>
  </si>
  <si>
    <t>Ribeirão Bonito</t>
  </si>
  <si>
    <t>Ribeirão Branco</t>
  </si>
  <si>
    <t>Ribeirão Corrente</t>
  </si>
  <si>
    <t>Ribeirão do Sul</t>
  </si>
  <si>
    <t>Ribeirão Dos Índios</t>
  </si>
  <si>
    <t>Ribeirão Grande</t>
  </si>
  <si>
    <t>Ribeirão Pires</t>
  </si>
  <si>
    <t>Ribeirão Preto</t>
  </si>
  <si>
    <t>Riversul</t>
  </si>
  <si>
    <t>Rifaina</t>
  </si>
  <si>
    <t>Rincão</t>
  </si>
  <si>
    <t>Rinópolis</t>
  </si>
  <si>
    <t>Rio Claro</t>
  </si>
  <si>
    <t>Rio Das Pedras</t>
  </si>
  <si>
    <t>Rio Grande da Serra</t>
  </si>
  <si>
    <t>Riolândia</t>
  </si>
  <si>
    <t>Rosana</t>
  </si>
  <si>
    <t>Roseira</t>
  </si>
  <si>
    <t>Rubiácea</t>
  </si>
  <si>
    <t>Rubinéia</t>
  </si>
  <si>
    <t>Sabino</t>
  </si>
  <si>
    <t>Sagres</t>
  </si>
  <si>
    <t>Sales</t>
  </si>
  <si>
    <t>Sales Oliveira</t>
  </si>
  <si>
    <t>Salesópolis</t>
  </si>
  <si>
    <t>Salmourão</t>
  </si>
  <si>
    <t>Saltinho</t>
  </si>
  <si>
    <t>Salto</t>
  </si>
  <si>
    <t>Salto de Pirapora</t>
  </si>
  <si>
    <t>Salto Grande</t>
  </si>
  <si>
    <t>Sandovalina</t>
  </si>
  <si>
    <t>Santa Adélia</t>
  </si>
  <si>
    <t>Santa Albertina</t>
  </si>
  <si>
    <t>Santa Bárbara D´oeste</t>
  </si>
  <si>
    <t>Santa Branca</t>
  </si>
  <si>
    <t>Santa Clara D´oeste</t>
  </si>
  <si>
    <t>Santa Cruz da Conceição</t>
  </si>
  <si>
    <t>Santa Cruz da Esperança</t>
  </si>
  <si>
    <t>Santa Cruz Das Palmeiras</t>
  </si>
  <si>
    <t>Santa Cruz do Rio Pardo</t>
  </si>
  <si>
    <t>Santa Ernestina</t>
  </si>
  <si>
    <t>Santa fé do Sul</t>
  </si>
  <si>
    <t>Santa Gertrudes</t>
  </si>
  <si>
    <t>Santa Isabel</t>
  </si>
  <si>
    <t>Santa Lúcia</t>
  </si>
  <si>
    <t>Santa Maria da Serra</t>
  </si>
  <si>
    <t>Santa Mercedes</t>
  </si>
  <si>
    <t>Santana da Ponte Pensa</t>
  </si>
  <si>
    <t>Santana de Parnaíba</t>
  </si>
  <si>
    <t>Santa Rita D´oeste</t>
  </si>
  <si>
    <t>Santa Rita do Passa Quatro</t>
  </si>
  <si>
    <t>Santa Rosa de Viterbo</t>
  </si>
  <si>
    <t>Santa Salete</t>
  </si>
  <si>
    <t>Santo Anastácio</t>
  </si>
  <si>
    <t>Santo André</t>
  </si>
  <si>
    <t>Santo Antônio da Alegria</t>
  </si>
  <si>
    <t>Santo Antônio de Posse</t>
  </si>
  <si>
    <t>Santo Antônio do Aracanguá</t>
  </si>
  <si>
    <t>Santo Antônio do Jardim</t>
  </si>
  <si>
    <t>Santo Antônio do Pinhal</t>
  </si>
  <si>
    <t>Santo Expedito</t>
  </si>
  <si>
    <t>Santópolis do Aguapeí</t>
  </si>
  <si>
    <t>Santos</t>
  </si>
  <si>
    <t>São Bento do Sapucaí</t>
  </si>
  <si>
    <t>São Bernardo do Campo</t>
  </si>
  <si>
    <t>São Caetano do Sul</t>
  </si>
  <si>
    <t>São Carlos</t>
  </si>
  <si>
    <t>São Francisco</t>
  </si>
  <si>
    <t>São João da Boa Vista</t>
  </si>
  <si>
    <t>São João Das Duas Pontes</t>
  </si>
  <si>
    <t>São João de Iracema</t>
  </si>
  <si>
    <t>São João do Pau D´alho</t>
  </si>
  <si>
    <t>São Joaquim da Barra</t>
  </si>
  <si>
    <t>São José da Bela Vista</t>
  </si>
  <si>
    <t>São José do Barreiro</t>
  </si>
  <si>
    <t>São José do Rio Pardo</t>
  </si>
  <si>
    <t>São José do Rio Preto</t>
  </si>
  <si>
    <t>São José Dos Campos</t>
  </si>
  <si>
    <t>São Lourenço da Serra</t>
  </si>
  <si>
    <t>São Luís do Paraitinga</t>
  </si>
  <si>
    <t>São Manuel</t>
  </si>
  <si>
    <t>São Miguel Arcanjo</t>
  </si>
  <si>
    <t>São Paulo</t>
  </si>
  <si>
    <t>São Pedro</t>
  </si>
  <si>
    <t>São Pedro do Turvo</t>
  </si>
  <si>
    <t>São Roque</t>
  </si>
  <si>
    <t>São Sebastião</t>
  </si>
  <si>
    <t>São Sebastião da Grama</t>
  </si>
  <si>
    <t>São Simão</t>
  </si>
  <si>
    <t>São Vicente</t>
  </si>
  <si>
    <t>Sarapuí</t>
  </si>
  <si>
    <t>Sarutaiá</t>
  </si>
  <si>
    <t>Sebastianópolis do Sul</t>
  </si>
  <si>
    <t>Serra Azul</t>
  </si>
  <si>
    <t>Serrana</t>
  </si>
  <si>
    <t>Serra Negra</t>
  </si>
  <si>
    <t>Sertãozinho</t>
  </si>
  <si>
    <t>Sete Barras</t>
  </si>
  <si>
    <t>Severínia</t>
  </si>
  <si>
    <t>Silveiras</t>
  </si>
  <si>
    <t>Socorro</t>
  </si>
  <si>
    <t>Sorocaba</t>
  </si>
  <si>
    <t>Sud Mennucci</t>
  </si>
  <si>
    <t>Sumaré</t>
  </si>
  <si>
    <t>Suzano</t>
  </si>
  <si>
    <t>Suzanápolis</t>
  </si>
  <si>
    <t>Tabapuã</t>
  </si>
  <si>
    <t>Tabatinga</t>
  </si>
  <si>
    <t>Taboão da Serra</t>
  </si>
  <si>
    <t>Taciba</t>
  </si>
  <si>
    <t>Taguaí</t>
  </si>
  <si>
    <t>Taiaçu</t>
  </si>
  <si>
    <t>Taiúva</t>
  </si>
  <si>
    <t>Tambaú</t>
  </si>
  <si>
    <t>Tanabi</t>
  </si>
  <si>
    <t>Tapiraí</t>
  </si>
  <si>
    <t>Tapiratiba</t>
  </si>
  <si>
    <t>Taquaral</t>
  </si>
  <si>
    <t>Taquaritinga</t>
  </si>
  <si>
    <t>Taquarituba</t>
  </si>
  <si>
    <t>Taquarivaí</t>
  </si>
  <si>
    <t>Tarabai</t>
  </si>
  <si>
    <t>Tarumã</t>
  </si>
  <si>
    <t>Tatuí</t>
  </si>
  <si>
    <t>Taubaté</t>
  </si>
  <si>
    <t>Tejupá</t>
  </si>
  <si>
    <t>Teodoro Sampaio</t>
  </si>
  <si>
    <t>Terra Roxa</t>
  </si>
  <si>
    <t>Tietê</t>
  </si>
  <si>
    <t>Timburi</t>
  </si>
  <si>
    <t>Torre de Pedra</t>
  </si>
  <si>
    <t>Torrinha</t>
  </si>
  <si>
    <t>Trabiju</t>
  </si>
  <si>
    <t>Tremembé</t>
  </si>
  <si>
    <t>Três Fronteiras</t>
  </si>
  <si>
    <t>Tuiuti</t>
  </si>
  <si>
    <t>Tupã</t>
  </si>
  <si>
    <t>Tupi Paulista</t>
  </si>
  <si>
    <t>Turiúba</t>
  </si>
  <si>
    <t>Turmalina</t>
  </si>
  <si>
    <t>Ubarana</t>
  </si>
  <si>
    <t>Ubatuba</t>
  </si>
  <si>
    <t>Ubirajara</t>
  </si>
  <si>
    <t>Uchoa</t>
  </si>
  <si>
    <t>União Paulista</t>
  </si>
  <si>
    <t>Urânia</t>
  </si>
  <si>
    <t>Uru</t>
  </si>
  <si>
    <t>Urupês</t>
  </si>
  <si>
    <t>Valentim Gentil</t>
  </si>
  <si>
    <t>Valinhos</t>
  </si>
  <si>
    <t>Valparaíso</t>
  </si>
  <si>
    <t>Vargem</t>
  </si>
  <si>
    <t>Vargem Grande do Sul</t>
  </si>
  <si>
    <t>Vargem Grande Paulista</t>
  </si>
  <si>
    <t>Várzea Paulista</t>
  </si>
  <si>
    <t>Vera Cruz</t>
  </si>
  <si>
    <t>Vinhedo</t>
  </si>
  <si>
    <t>Viradouro</t>
  </si>
  <si>
    <t>Vista Alegre do Alto</t>
  </si>
  <si>
    <t>Vitória Brasil</t>
  </si>
  <si>
    <t>Votorantim</t>
  </si>
  <si>
    <t>Votuporanga</t>
  </si>
  <si>
    <t>Zacarias</t>
  </si>
  <si>
    <t>Chavantes</t>
  </si>
  <si>
    <t>Estiva Gerbi</t>
  </si>
  <si>
    <t>PR</t>
  </si>
  <si>
    <t>Abatiá</t>
  </si>
  <si>
    <t>Adrianópolis</t>
  </si>
  <si>
    <t>Agudos do Sul</t>
  </si>
  <si>
    <t>Almirante Tamandaré</t>
  </si>
  <si>
    <t>Altamira do Paraná</t>
  </si>
  <si>
    <t>Altônia</t>
  </si>
  <si>
    <t>Alto Paraná</t>
  </si>
  <si>
    <t>Alto Piquiri</t>
  </si>
  <si>
    <t>Alvorada do Sul</t>
  </si>
  <si>
    <t>Amaporã</t>
  </si>
  <si>
    <t>Ampére</t>
  </si>
  <si>
    <t>Anahy</t>
  </si>
  <si>
    <t>Andirá</t>
  </si>
  <si>
    <t>Ângulo</t>
  </si>
  <si>
    <t>Antonina</t>
  </si>
  <si>
    <t>Antônio Olinto</t>
  </si>
  <si>
    <t>Apucarana</t>
  </si>
  <si>
    <t>Arapongas</t>
  </si>
  <si>
    <t>Arapoti</t>
  </si>
  <si>
    <t>Arapuã</t>
  </si>
  <si>
    <t>Araruna</t>
  </si>
  <si>
    <t>Araucária</t>
  </si>
  <si>
    <t>Ariranha do Ivaí</t>
  </si>
  <si>
    <t>Assaí</t>
  </si>
  <si>
    <t>Assis Chateaubriand</t>
  </si>
  <si>
    <t>Astorga</t>
  </si>
  <si>
    <t>Atalaia</t>
  </si>
  <si>
    <t>Balsa Nova</t>
  </si>
  <si>
    <t>Bandeirantes</t>
  </si>
  <si>
    <t>Barbosa Ferraz</t>
  </si>
  <si>
    <t>Barracão</t>
  </si>
  <si>
    <t>Barra do Jacaré</t>
  </si>
  <si>
    <t>Bela Vista da Caroba</t>
  </si>
  <si>
    <t>Bela Vista do Paraíso</t>
  </si>
  <si>
    <t>Bituruna</t>
  </si>
  <si>
    <t>Boa Esperança</t>
  </si>
  <si>
    <t>Boa Esperança do Iguaçu</t>
  </si>
  <si>
    <t>Boa Ventura de São Roque</t>
  </si>
  <si>
    <t>Boa Vista da Aparecida</t>
  </si>
  <si>
    <t>Bocaiúva do Sul</t>
  </si>
  <si>
    <t>Bom Jesus do Sul</t>
  </si>
  <si>
    <t>Bom Sucesso</t>
  </si>
  <si>
    <t>Bom Sucesso do Sul</t>
  </si>
  <si>
    <t>Borrazópolis</t>
  </si>
  <si>
    <t>Braganey</t>
  </si>
  <si>
    <t>Brasilândia do Sul</t>
  </si>
  <si>
    <t>Cafeara</t>
  </si>
  <si>
    <t>Cafezal do Sul</t>
  </si>
  <si>
    <t>Califórnia</t>
  </si>
  <si>
    <t>Cambará</t>
  </si>
  <si>
    <t>Cambé</t>
  </si>
  <si>
    <t>Cambira</t>
  </si>
  <si>
    <t>Campina da Lagoa</t>
  </si>
  <si>
    <t>Campina do Simão</t>
  </si>
  <si>
    <t>Campina Grande do Sul</t>
  </si>
  <si>
    <t>Campo Bonito</t>
  </si>
  <si>
    <t>Campo do Tenente</t>
  </si>
  <si>
    <t>Campo Largo</t>
  </si>
  <si>
    <t>Campo Magro</t>
  </si>
  <si>
    <t>Campo Mourão</t>
  </si>
  <si>
    <t>Cândido de Abreu</t>
  </si>
  <si>
    <t>Candói</t>
  </si>
  <si>
    <t>Cantagalo</t>
  </si>
  <si>
    <t>Capanema</t>
  </si>
  <si>
    <t>Capitão Leônidas Marques</t>
  </si>
  <si>
    <t>Carambeí</t>
  </si>
  <si>
    <t>Carlópolis</t>
  </si>
  <si>
    <t>Cascavel</t>
  </si>
  <si>
    <t>Castro</t>
  </si>
  <si>
    <t>Catanduvas</t>
  </si>
  <si>
    <t>Centenário do Sul</t>
  </si>
  <si>
    <t>Cerro Azul</t>
  </si>
  <si>
    <t>Céu Azul</t>
  </si>
  <si>
    <t>Chopinzinho</t>
  </si>
  <si>
    <t>Cianorte</t>
  </si>
  <si>
    <t>Cidade Gaúcha</t>
  </si>
  <si>
    <t>Clevelândia</t>
  </si>
  <si>
    <t>Colombo</t>
  </si>
  <si>
    <t>Colorado</t>
  </si>
  <si>
    <t>Congonhinhas</t>
  </si>
  <si>
    <t>Conselheiro Mairinck</t>
  </si>
  <si>
    <t>Contenda</t>
  </si>
  <si>
    <t>Corbélia</t>
  </si>
  <si>
    <t>Cornélio Procópio</t>
  </si>
  <si>
    <t>Coronel Domingos Soares</t>
  </si>
  <si>
    <t>Coronel Vivida</t>
  </si>
  <si>
    <t>Corumbataí do Sul</t>
  </si>
  <si>
    <t>Cruzeiro do Iguaçu</t>
  </si>
  <si>
    <t>Cruzeiro do Oeste</t>
  </si>
  <si>
    <t>Cruzeiro do Sul</t>
  </si>
  <si>
    <t>Cruz Machado</t>
  </si>
  <si>
    <t>Cruzmaltina</t>
  </si>
  <si>
    <t>Curitiba</t>
  </si>
  <si>
    <t>Curiúva</t>
  </si>
  <si>
    <t>Diamante do Norte</t>
  </si>
  <si>
    <t>Diamante do Sul</t>
  </si>
  <si>
    <t>Diamante D´oeste</t>
  </si>
  <si>
    <t>Dois Vizinhos</t>
  </si>
  <si>
    <t>Douradina</t>
  </si>
  <si>
    <t>Doutor Camargo</t>
  </si>
  <si>
    <t>Enéas Marques</t>
  </si>
  <si>
    <t>Engenheiro Beltrão</t>
  </si>
  <si>
    <t>Esperança Nova</t>
  </si>
  <si>
    <t>Entre Rios do Oeste</t>
  </si>
  <si>
    <t>Espigão Alto do Iguaçu</t>
  </si>
  <si>
    <t>Farol</t>
  </si>
  <si>
    <t>Faxinal</t>
  </si>
  <si>
    <t>Fazenda Rio Grande</t>
  </si>
  <si>
    <t>Fênix</t>
  </si>
  <si>
    <t>Fernandes Pinheiro</t>
  </si>
  <si>
    <t>Figueira</t>
  </si>
  <si>
    <t>Floraí</t>
  </si>
  <si>
    <t>Flor da Serra do Sul</t>
  </si>
  <si>
    <t>Floresta</t>
  </si>
  <si>
    <t>Florestópolis</t>
  </si>
  <si>
    <t>Flórida</t>
  </si>
  <si>
    <t>Formosa do Oeste</t>
  </si>
  <si>
    <t>Foz do Iguaçu</t>
  </si>
  <si>
    <t>Francisco Alves</t>
  </si>
  <si>
    <t>Francisco Beltrão</t>
  </si>
  <si>
    <t>Foz do Jordão</t>
  </si>
  <si>
    <t>General Carneiro</t>
  </si>
  <si>
    <t>Godoy Moreira</t>
  </si>
  <si>
    <t>Goioerê</t>
  </si>
  <si>
    <t>Goioxim</t>
  </si>
  <si>
    <t>Grandes Rios</t>
  </si>
  <si>
    <t>Guairaçá</t>
  </si>
  <si>
    <t>Guamiranga</t>
  </si>
  <si>
    <t>Guapirama</t>
  </si>
  <si>
    <t>Guaporema</t>
  </si>
  <si>
    <t>Guaraniaçu</t>
  </si>
  <si>
    <t>Guarapuava</t>
  </si>
  <si>
    <t>Guaraqueçaba</t>
  </si>
  <si>
    <t>Guaratuba</t>
  </si>
  <si>
    <t>Honório Serpa</t>
  </si>
  <si>
    <t>Ibaiti</t>
  </si>
  <si>
    <t>Ibema</t>
  </si>
  <si>
    <t>Ibiporã</t>
  </si>
  <si>
    <t>Icaraíma</t>
  </si>
  <si>
    <t>Iguaraçu</t>
  </si>
  <si>
    <t>Iguatu</t>
  </si>
  <si>
    <t>Imbaú</t>
  </si>
  <si>
    <t>Imbituva</t>
  </si>
  <si>
    <t>Inácio Martins</t>
  </si>
  <si>
    <t>Inajá</t>
  </si>
  <si>
    <t>Indianópolis</t>
  </si>
  <si>
    <t>Ipiranga</t>
  </si>
  <si>
    <t>Iporã</t>
  </si>
  <si>
    <t>Iracema do Oeste</t>
  </si>
  <si>
    <t>Irati</t>
  </si>
  <si>
    <t>Iretama</t>
  </si>
  <si>
    <t>Itaguajé</t>
  </si>
  <si>
    <t>Itaipulândia</t>
  </si>
  <si>
    <t>Itambaracá</t>
  </si>
  <si>
    <t>Itambé</t>
  </si>
  <si>
    <t>Itapejara D´oeste</t>
  </si>
  <si>
    <t>Itaperuçu</t>
  </si>
  <si>
    <t>Itaúna do Sul</t>
  </si>
  <si>
    <t>Ivaí</t>
  </si>
  <si>
    <t>Ivaiporã</t>
  </si>
  <si>
    <t>Ivaté</t>
  </si>
  <si>
    <t>Ivatuba</t>
  </si>
  <si>
    <t>Jaboti</t>
  </si>
  <si>
    <t>Jacarezinho</t>
  </si>
  <si>
    <t>Jaguapitã</t>
  </si>
  <si>
    <t>Jaguariaíva</t>
  </si>
  <si>
    <t>Jandaia do Sul</t>
  </si>
  <si>
    <t>Janiópolis</t>
  </si>
  <si>
    <t>Japira</t>
  </si>
  <si>
    <t>Japurá</t>
  </si>
  <si>
    <t>Jardim Alegre</t>
  </si>
  <si>
    <t>Jardim Olinda</t>
  </si>
  <si>
    <t>Jataizinho</t>
  </si>
  <si>
    <t>Jesuítas</t>
  </si>
  <si>
    <t>Joaquim Távora</t>
  </si>
  <si>
    <t>Jundiaí do Sul</t>
  </si>
  <si>
    <t>Juranda</t>
  </si>
  <si>
    <t>Jussara</t>
  </si>
  <si>
    <t>Kaloré</t>
  </si>
  <si>
    <t>Lapa</t>
  </si>
  <si>
    <t>Laranjal</t>
  </si>
  <si>
    <t>Laranjeiras do Sul</t>
  </si>
  <si>
    <t>Leópolis</t>
  </si>
  <si>
    <t>Lidianópolis</t>
  </si>
  <si>
    <t>Lindoeste</t>
  </si>
  <si>
    <t>Loanda</t>
  </si>
  <si>
    <t>Lobato</t>
  </si>
  <si>
    <t>Londrina</t>
  </si>
  <si>
    <t>Luiziana</t>
  </si>
  <si>
    <t>Lunardelli</t>
  </si>
  <si>
    <t>Lupionópolis</t>
  </si>
  <si>
    <t>Mallet</t>
  </si>
  <si>
    <t>Mamborê</t>
  </si>
  <si>
    <t>Mandaguaçu</t>
  </si>
  <si>
    <t>Mandaguari</t>
  </si>
  <si>
    <t>Mandirituba</t>
  </si>
  <si>
    <t>Manfrinópolis</t>
  </si>
  <si>
    <t>Mangueirinha</t>
  </si>
  <si>
    <t>Manoel Ribas</t>
  </si>
  <si>
    <t>Marechal Cândido Rondon</t>
  </si>
  <si>
    <t>Maria Helena</t>
  </si>
  <si>
    <t>Marialva</t>
  </si>
  <si>
    <t>Marilândia do Sul</t>
  </si>
  <si>
    <t>Marilena</t>
  </si>
  <si>
    <t>Mariluz</t>
  </si>
  <si>
    <t>Maringá</t>
  </si>
  <si>
    <t>Mariópolis</t>
  </si>
  <si>
    <t>Maripá</t>
  </si>
  <si>
    <t>Marmeleiro</t>
  </si>
  <si>
    <t>Marquinho</t>
  </si>
  <si>
    <t>Marumbi</t>
  </si>
  <si>
    <t>Matelândia</t>
  </si>
  <si>
    <t>Matinhos</t>
  </si>
  <si>
    <t>Mato Rico</t>
  </si>
  <si>
    <t>Mauá da Serra</t>
  </si>
  <si>
    <t>Medianeira</t>
  </si>
  <si>
    <t>Mercedes</t>
  </si>
  <si>
    <t>Mirador</t>
  </si>
  <si>
    <t>Miraselva</t>
  </si>
  <si>
    <t>Missal</t>
  </si>
  <si>
    <t>Moreira Sales</t>
  </si>
  <si>
    <t>Morretes</t>
  </si>
  <si>
    <t>Munhoz de Melo</t>
  </si>
  <si>
    <t>Nossa Senhora Das Graças</t>
  </si>
  <si>
    <t>Nova Aliança do Ivaí</t>
  </si>
  <si>
    <t>Nova América da Colina</t>
  </si>
  <si>
    <t>Nova Aurora</t>
  </si>
  <si>
    <t>Nova Cantu</t>
  </si>
  <si>
    <t>Nova Esperança</t>
  </si>
  <si>
    <t>Nova Esperança do Sudoeste</t>
  </si>
  <si>
    <t>Nova Fátima</t>
  </si>
  <si>
    <t>Nova Laranjeiras</t>
  </si>
  <si>
    <t>Nova Londrina</t>
  </si>
  <si>
    <t>Nova Olímpia</t>
  </si>
  <si>
    <t>Nova Santa Bárbara</t>
  </si>
  <si>
    <t>Nova Santa Rosa</t>
  </si>
  <si>
    <t>Nova Prata do Iguaçu</t>
  </si>
  <si>
    <t>Nova Tebas</t>
  </si>
  <si>
    <t>Novo Itacolomi</t>
  </si>
  <si>
    <t>Ortigueira</t>
  </si>
  <si>
    <t>Ourizona</t>
  </si>
  <si>
    <t>Ouro Verde do Oeste</t>
  </si>
  <si>
    <t>Paiçandu</t>
  </si>
  <si>
    <t>Palmas</t>
  </si>
  <si>
    <t>Palmeira</t>
  </si>
  <si>
    <t>Palotina</t>
  </si>
  <si>
    <t>Paraíso do Norte</t>
  </si>
  <si>
    <t>Paranacity</t>
  </si>
  <si>
    <t>Paranaguá</t>
  </si>
  <si>
    <t>Paranapoema</t>
  </si>
  <si>
    <t>Paranavaí</t>
  </si>
  <si>
    <t>Pato Bragado</t>
  </si>
  <si>
    <t>Pato Branco</t>
  </si>
  <si>
    <t>Paula Freitas</t>
  </si>
  <si>
    <t>Paulo Frontin</t>
  </si>
  <si>
    <t>Peabiru</t>
  </si>
  <si>
    <t>Perobal</t>
  </si>
  <si>
    <t>Pérola</t>
  </si>
  <si>
    <t>Pérola D´oeste</t>
  </si>
  <si>
    <t>Piên</t>
  </si>
  <si>
    <t>Pinhais</t>
  </si>
  <si>
    <t>Pinhalão</t>
  </si>
  <si>
    <t>Pinhal de São Bento</t>
  </si>
  <si>
    <t>Pinhão</t>
  </si>
  <si>
    <t>Piraí do Sul</t>
  </si>
  <si>
    <t>Piraquara</t>
  </si>
  <si>
    <t>Pitanga</t>
  </si>
  <si>
    <t>Planaltina do Paraná</t>
  </si>
  <si>
    <t>Ponta Grossa</t>
  </si>
  <si>
    <t>Pontal do Paraná</t>
  </si>
  <si>
    <t>Porecatu</t>
  </si>
  <si>
    <t>Porto Amazonas</t>
  </si>
  <si>
    <t>Porto Barreiro</t>
  </si>
  <si>
    <t>Porto Rico</t>
  </si>
  <si>
    <t>Porto Vitória</t>
  </si>
  <si>
    <t>Prado Ferreira</t>
  </si>
  <si>
    <t>Pranchita</t>
  </si>
  <si>
    <t>Presidente Castelo Branco</t>
  </si>
  <si>
    <t>Primeiro de Maio</t>
  </si>
  <si>
    <t>Prudentópolis</t>
  </si>
  <si>
    <t>Quarto Centenário</t>
  </si>
  <si>
    <t>Quatiguá</t>
  </si>
  <si>
    <t>Quatro Barras</t>
  </si>
  <si>
    <t>Quatro Pontes</t>
  </si>
  <si>
    <t>Quedas do Iguaçu</t>
  </si>
  <si>
    <t>Querência do Norte</t>
  </si>
  <si>
    <t>Quinta do Sol</t>
  </si>
  <si>
    <t>Quitandinha</t>
  </si>
  <si>
    <t>Ramilândia</t>
  </si>
  <si>
    <t>Rancho Alegre</t>
  </si>
  <si>
    <t>Rancho Alegre D´oeste</t>
  </si>
  <si>
    <t>Realeza</t>
  </si>
  <si>
    <t>Rebouças</t>
  </si>
  <si>
    <t>Renascença</t>
  </si>
  <si>
    <t>Reserva</t>
  </si>
  <si>
    <t>Reserva do Iguaçu</t>
  </si>
  <si>
    <t>Ribeirão Claro</t>
  </si>
  <si>
    <t>Ribeirão do Pinhal</t>
  </si>
  <si>
    <t>Rio Azul</t>
  </si>
  <si>
    <t>Rio Bom</t>
  </si>
  <si>
    <t>Rio Bonito do Iguaçu</t>
  </si>
  <si>
    <t>Rio Branco do Ivaí</t>
  </si>
  <si>
    <t>Rio Branco do Sul</t>
  </si>
  <si>
    <t>Rio Negro</t>
  </si>
  <si>
    <t>Rolândia</t>
  </si>
  <si>
    <t>Roncador</t>
  </si>
  <si>
    <t>Rondon</t>
  </si>
  <si>
    <t>Rosário do Ivaí</t>
  </si>
  <si>
    <t>Sabáudia</t>
  </si>
  <si>
    <t>Salgado Filho</t>
  </si>
  <si>
    <t>Salto do Itararé</t>
  </si>
  <si>
    <t>Salto do Lontra</t>
  </si>
  <si>
    <t>Santa Amélia</t>
  </si>
  <si>
    <t>Santa Cecília do Pavão</t>
  </si>
  <si>
    <t>Santa Cruz de Monte Castelo</t>
  </si>
  <si>
    <t>Santa fé</t>
  </si>
  <si>
    <t>Santa Helena</t>
  </si>
  <si>
    <t>Santa Inês</t>
  </si>
  <si>
    <t>Santa Isabel do Ivaí</t>
  </si>
  <si>
    <t>Santa Izabel do Oeste</t>
  </si>
  <si>
    <t>Santa Maria do Oeste</t>
  </si>
  <si>
    <t>Santa Mariana</t>
  </si>
  <si>
    <t>Santa Mônica</t>
  </si>
  <si>
    <t>Santana do Itararé</t>
  </si>
  <si>
    <t>Santa Tereza do Oeste</t>
  </si>
  <si>
    <t>Santa Terezinha de Itaipu</t>
  </si>
  <si>
    <t>Santo Antônio da Platina</t>
  </si>
  <si>
    <t>Santo Antônio do Caiuá</t>
  </si>
  <si>
    <t>Santo Antônio do Paraíso</t>
  </si>
  <si>
    <t>Santo Antônio do Sudoeste</t>
  </si>
  <si>
    <t>Santo Inácio</t>
  </si>
  <si>
    <t>São Carlos do Ivaí</t>
  </si>
  <si>
    <t>São Jerônimo da Serra</t>
  </si>
  <si>
    <t>São João</t>
  </si>
  <si>
    <t>São João do Caiuá</t>
  </si>
  <si>
    <t>São João do Ivaí</t>
  </si>
  <si>
    <t>São João do Triunfo</t>
  </si>
  <si>
    <t>São Jorge D´oeste</t>
  </si>
  <si>
    <t>São Jorge do Ivaí</t>
  </si>
  <si>
    <t>São Jorge do Patrocínio</t>
  </si>
  <si>
    <t>São José da Boa Vista</t>
  </si>
  <si>
    <t>São José Das Palmeiras</t>
  </si>
  <si>
    <t>São José Dos Pinhais</t>
  </si>
  <si>
    <t>São Manoel do Paraná</t>
  </si>
  <si>
    <t>São Mateus do Sul</t>
  </si>
  <si>
    <t>São Miguel do Iguaçu</t>
  </si>
  <si>
    <t>São Pedro do Iguaçu</t>
  </si>
  <si>
    <t>São Pedro do Ivaí</t>
  </si>
  <si>
    <t>São Pedro do Paraná</t>
  </si>
  <si>
    <t>São Sebastião da Amoreira</t>
  </si>
  <si>
    <t>São Tomé</t>
  </si>
  <si>
    <t>Sapopema</t>
  </si>
  <si>
    <t>Sarandi</t>
  </si>
  <si>
    <t>Saudade do Iguaçu</t>
  </si>
  <si>
    <t>Sengés</t>
  </si>
  <si>
    <t>Serranópolis do Iguaçu</t>
  </si>
  <si>
    <t>Sertaneja</t>
  </si>
  <si>
    <t>Sertanópolis</t>
  </si>
  <si>
    <t>Siqueira Campos</t>
  </si>
  <si>
    <t>Sulina</t>
  </si>
  <si>
    <t>Tamarana</t>
  </si>
  <si>
    <t>Tamboara</t>
  </si>
  <si>
    <t>Tapejara</t>
  </si>
  <si>
    <t>Tapira</t>
  </si>
  <si>
    <t>Teixeira Soares</t>
  </si>
  <si>
    <t>Telêmaco Borba</t>
  </si>
  <si>
    <t>Terra Boa</t>
  </si>
  <si>
    <t>Terra Rica</t>
  </si>
  <si>
    <t>Tibagi</t>
  </si>
  <si>
    <t>Tijucas do Sul</t>
  </si>
  <si>
    <t>Toledo</t>
  </si>
  <si>
    <t>Tomazina</t>
  </si>
  <si>
    <t>Três Barras do Paraná</t>
  </si>
  <si>
    <t>Tunas do Paraná</t>
  </si>
  <si>
    <t>Tuneiras do Oeste</t>
  </si>
  <si>
    <t>Tupãssi</t>
  </si>
  <si>
    <t>Turvo</t>
  </si>
  <si>
    <t>Ubiratã</t>
  </si>
  <si>
    <t>Umuarama</t>
  </si>
  <si>
    <t>União da Vitória</t>
  </si>
  <si>
    <t>Uniflor</t>
  </si>
  <si>
    <t>Uraí</t>
  </si>
  <si>
    <t>Wenceslau Braz</t>
  </si>
  <si>
    <t>Ventania</t>
  </si>
  <si>
    <t>Vera Cruz do Oeste</t>
  </si>
  <si>
    <t>Verê</t>
  </si>
  <si>
    <t>Vila Alta</t>
  </si>
  <si>
    <t>Doutor Ulysses</t>
  </si>
  <si>
    <t>Virmond</t>
  </si>
  <si>
    <t>Vitorino</t>
  </si>
  <si>
    <t>Xambrê</t>
  </si>
  <si>
    <t>SC</t>
  </si>
  <si>
    <t>Abdon Batista</t>
  </si>
  <si>
    <t>Abelardo Luz</t>
  </si>
  <si>
    <t>Agrolândia</t>
  </si>
  <si>
    <t>Agronômica</t>
  </si>
  <si>
    <t>Água Doce</t>
  </si>
  <si>
    <t>Águas de Chapecó</t>
  </si>
  <si>
    <t>Águas Frias</t>
  </si>
  <si>
    <t>Águas Mornas</t>
  </si>
  <si>
    <t>Alfredo Wagner</t>
  </si>
  <si>
    <t>Alto Bela Vista</t>
  </si>
  <si>
    <t>Anchieta</t>
  </si>
  <si>
    <t>Angelina</t>
  </si>
  <si>
    <t>Anita Garibaldi</t>
  </si>
  <si>
    <t>Anitápolis</t>
  </si>
  <si>
    <t>Antônio Carlos</t>
  </si>
  <si>
    <t>Apiúna</t>
  </si>
  <si>
    <t>Arabutã</t>
  </si>
  <si>
    <t>Araquari</t>
  </si>
  <si>
    <t>Araranguá</t>
  </si>
  <si>
    <t>Armazém</t>
  </si>
  <si>
    <t>Arroio Trinta</t>
  </si>
  <si>
    <t>Arvoredo</t>
  </si>
  <si>
    <t>Ascurra</t>
  </si>
  <si>
    <t>Atalanta</t>
  </si>
  <si>
    <t>Aurora</t>
  </si>
  <si>
    <t>Balneário Arroio do Silva</t>
  </si>
  <si>
    <t>Balneário Camboriú</t>
  </si>
  <si>
    <t>Balneário Barra do Sul</t>
  </si>
  <si>
    <t>Balneário Gaivota</t>
  </si>
  <si>
    <t>Bandeirante</t>
  </si>
  <si>
    <t>Barra Velha</t>
  </si>
  <si>
    <t>Bela Vista do Toldo</t>
  </si>
  <si>
    <t>Belmonte</t>
  </si>
  <si>
    <t>Benedito Novo</t>
  </si>
  <si>
    <t>Biguaçu</t>
  </si>
  <si>
    <t>Blumenau</t>
  </si>
  <si>
    <t>Bocaina do Sul</t>
  </si>
  <si>
    <t>Bombinhas</t>
  </si>
  <si>
    <t>Bom Jardim da Serra</t>
  </si>
  <si>
    <t>Bom Jesus</t>
  </si>
  <si>
    <t>Bom Jesus do Oeste</t>
  </si>
  <si>
    <t>Bom Retiro</t>
  </si>
  <si>
    <t>Botuverá</t>
  </si>
  <si>
    <t>Braço do Norte</t>
  </si>
  <si>
    <t>Braço do Trombudo</t>
  </si>
  <si>
    <t>Brunópolis</t>
  </si>
  <si>
    <t>Brusque</t>
  </si>
  <si>
    <t>Caçador</t>
  </si>
  <si>
    <t>Caibi</t>
  </si>
  <si>
    <t>Calmon</t>
  </si>
  <si>
    <t>Camboriú</t>
  </si>
  <si>
    <t>Capão Alto</t>
  </si>
  <si>
    <t>Campo Alegre</t>
  </si>
  <si>
    <t>Campo Belo do Sul</t>
  </si>
  <si>
    <t>Campo Erê</t>
  </si>
  <si>
    <t>Campos Novos</t>
  </si>
  <si>
    <t>Canelinha</t>
  </si>
  <si>
    <t>Canoinhas</t>
  </si>
  <si>
    <t>Capinzal</t>
  </si>
  <si>
    <t>Capivari de Baixo</t>
  </si>
  <si>
    <t>Caxambu do Sul</t>
  </si>
  <si>
    <t>Celso Ramos</t>
  </si>
  <si>
    <t>Cerro Negro</t>
  </si>
  <si>
    <t>Chapadão do Lageado</t>
  </si>
  <si>
    <t>Chapecó</t>
  </si>
  <si>
    <t>Cocal do Sul</t>
  </si>
  <si>
    <t>Concórdia</t>
  </si>
  <si>
    <t>Cordilheira Alta</t>
  </si>
  <si>
    <t>Coronel Freitas</t>
  </si>
  <si>
    <t>Coronel Martins</t>
  </si>
  <si>
    <t>Corupá</t>
  </si>
  <si>
    <t>Correia Pinto</t>
  </si>
  <si>
    <t>Criciúma</t>
  </si>
  <si>
    <t>Cunha Porã</t>
  </si>
  <si>
    <t>Cunhataí</t>
  </si>
  <si>
    <t>Curitibanos</t>
  </si>
  <si>
    <t>Descanso</t>
  </si>
  <si>
    <t>Dionísio Cerqueira</t>
  </si>
  <si>
    <t>Dona Emma</t>
  </si>
  <si>
    <t>Doutor Pedrinho</t>
  </si>
  <si>
    <t>Entre Rios</t>
  </si>
  <si>
    <t>Ermo</t>
  </si>
  <si>
    <t>Erval Velho</t>
  </si>
  <si>
    <t>Faxinal Dos Guedes</t>
  </si>
  <si>
    <t>Flor do Sertão</t>
  </si>
  <si>
    <t>Florianópolis</t>
  </si>
  <si>
    <t>Formosa do Sul</t>
  </si>
  <si>
    <t>Forquilhinha</t>
  </si>
  <si>
    <t>Fraiburgo</t>
  </si>
  <si>
    <t>Frei Rogério</t>
  </si>
  <si>
    <t>Galvão</t>
  </si>
  <si>
    <t>Garopaba</t>
  </si>
  <si>
    <t>Garuva</t>
  </si>
  <si>
    <t>Gaspar</t>
  </si>
  <si>
    <t>Governador Celso Ramos</t>
  </si>
  <si>
    <t>Grão Pará</t>
  </si>
  <si>
    <t>Gravatal</t>
  </si>
  <si>
    <t>Guabiruba</t>
  </si>
  <si>
    <t>Guaraciaba</t>
  </si>
  <si>
    <t>Guaramirim</t>
  </si>
  <si>
    <t>Guarujá do Sul</t>
  </si>
  <si>
    <t>Guatambú</t>
  </si>
  <si>
    <t>Herval D´oeste</t>
  </si>
  <si>
    <t>Ibiam</t>
  </si>
  <si>
    <t>Ibicaré</t>
  </si>
  <si>
    <t>Ibirama</t>
  </si>
  <si>
    <t>Içara</t>
  </si>
  <si>
    <t>Ilhota</t>
  </si>
  <si>
    <t>Imaruí</t>
  </si>
  <si>
    <t>Imbituba</t>
  </si>
  <si>
    <t>Imbuia</t>
  </si>
  <si>
    <t>Indaial</t>
  </si>
  <si>
    <t>Iomerê</t>
  </si>
  <si>
    <t>Ipira</t>
  </si>
  <si>
    <t>Iporã do Oeste</t>
  </si>
  <si>
    <t>Ipuaçu</t>
  </si>
  <si>
    <t>Ipumirim</t>
  </si>
  <si>
    <t>Iraceminha</t>
  </si>
  <si>
    <t>Irani</t>
  </si>
  <si>
    <t>Irineópolis</t>
  </si>
  <si>
    <t>Itá</t>
  </si>
  <si>
    <t>Itaiópolis</t>
  </si>
  <si>
    <t>Itajaí</t>
  </si>
  <si>
    <t>Itapema</t>
  </si>
  <si>
    <t>Itapiranga</t>
  </si>
  <si>
    <t>Itapoá</t>
  </si>
  <si>
    <t>Ituporanga</t>
  </si>
  <si>
    <t>Jaborá</t>
  </si>
  <si>
    <t>Jacinto Machado</t>
  </si>
  <si>
    <t>Jaguaruna</t>
  </si>
  <si>
    <t>Jaraguá do Sul</t>
  </si>
  <si>
    <t>Joaçaba</t>
  </si>
  <si>
    <t>Joinville</t>
  </si>
  <si>
    <t>José Boiteux</t>
  </si>
  <si>
    <t>Jupiá</t>
  </si>
  <si>
    <t>Lacerdópolis</t>
  </si>
  <si>
    <t>Lages</t>
  </si>
  <si>
    <t>Laguna</t>
  </si>
  <si>
    <t>Lajeado Grande</t>
  </si>
  <si>
    <t>Laurentino</t>
  </si>
  <si>
    <t>Lauro Muller</t>
  </si>
  <si>
    <t>Lebon Régis</t>
  </si>
  <si>
    <t>Leoberto Leal</t>
  </si>
  <si>
    <t>Lindóia do Sul</t>
  </si>
  <si>
    <t>Lontras</t>
  </si>
  <si>
    <t>Luiz Alves</t>
  </si>
  <si>
    <t>Luzerna</t>
  </si>
  <si>
    <t>Macieira</t>
  </si>
  <si>
    <t>Mafra</t>
  </si>
  <si>
    <t>Major Gercino</t>
  </si>
  <si>
    <t>Major Vieira</t>
  </si>
  <si>
    <t>Maracajá</t>
  </si>
  <si>
    <t>Maravilha</t>
  </si>
  <si>
    <t>Marema</t>
  </si>
  <si>
    <t>Massaranduba</t>
  </si>
  <si>
    <t>Matos Costa</t>
  </si>
  <si>
    <t>Meleiro</t>
  </si>
  <si>
    <t>Mirim Doce</t>
  </si>
  <si>
    <t>Modelo</t>
  </si>
  <si>
    <t>Mondaí</t>
  </si>
  <si>
    <t>Monte Carlo</t>
  </si>
  <si>
    <t>Morro da Fumaça</t>
  </si>
  <si>
    <t>Morro Grande</t>
  </si>
  <si>
    <t>Navegantes</t>
  </si>
  <si>
    <t>Nova Erechim</t>
  </si>
  <si>
    <t>Nova Itaberaba</t>
  </si>
  <si>
    <t>Nova Trento</t>
  </si>
  <si>
    <t>Nova Veneza</t>
  </si>
  <si>
    <t>Orleans</t>
  </si>
  <si>
    <t>Otacílio Costa</t>
  </si>
  <si>
    <t>Ouro</t>
  </si>
  <si>
    <t>Paial</t>
  </si>
  <si>
    <t>Painel</t>
  </si>
  <si>
    <t>Palhoça</t>
  </si>
  <si>
    <t>Palma Sola</t>
  </si>
  <si>
    <t>Palmitos</t>
  </si>
  <si>
    <t>Papanduva</t>
  </si>
  <si>
    <t>Passo de Torres</t>
  </si>
  <si>
    <t>Passos Maia</t>
  </si>
  <si>
    <t>Paulo Lopes</t>
  </si>
  <si>
    <t>Pedras Grandes</t>
  </si>
  <si>
    <t>Penha</t>
  </si>
  <si>
    <t>Peritiba</t>
  </si>
  <si>
    <t>Pescaria Brava</t>
  </si>
  <si>
    <t>Petrolândia</t>
  </si>
  <si>
    <t>Piçarras</t>
  </si>
  <si>
    <t>Pinheiro Preto</t>
  </si>
  <si>
    <t>Piratuba</t>
  </si>
  <si>
    <t>Planalto Alegre</t>
  </si>
  <si>
    <t>Pomerode</t>
  </si>
  <si>
    <t>Ponte Alta</t>
  </si>
  <si>
    <t>Ponte Alta do Norte</t>
  </si>
  <si>
    <t>Ponte Serrada</t>
  </si>
  <si>
    <t>Porto Belo</t>
  </si>
  <si>
    <t>Porto União</t>
  </si>
  <si>
    <t>Pouso Redondo</t>
  </si>
  <si>
    <t>Presidente Getúlio</t>
  </si>
  <si>
    <t>Presidente Nereu</t>
  </si>
  <si>
    <t>Princesa</t>
  </si>
  <si>
    <t>Quilombo</t>
  </si>
  <si>
    <t>Rancho Queimado</t>
  </si>
  <si>
    <t>Rio Das Antas</t>
  </si>
  <si>
    <t>Rio do Campo</t>
  </si>
  <si>
    <t>Rio do Oeste</t>
  </si>
  <si>
    <t>Rio Dos Cedros</t>
  </si>
  <si>
    <t>Rio do Sul</t>
  </si>
  <si>
    <t>Rio Fortuna</t>
  </si>
  <si>
    <t>Rio Negrinho</t>
  </si>
  <si>
    <t>Rio Rufino</t>
  </si>
  <si>
    <t>Riqueza</t>
  </si>
  <si>
    <t>Rodeio</t>
  </si>
  <si>
    <t>Romelândia</t>
  </si>
  <si>
    <t>Salete</t>
  </si>
  <si>
    <t>Salto Veloso</t>
  </si>
  <si>
    <t>Sangão</t>
  </si>
  <si>
    <t>Santa Cecília</t>
  </si>
  <si>
    <t>Santa Rosa de Lima</t>
  </si>
  <si>
    <t>Santa Rosa do Sul</t>
  </si>
  <si>
    <t>Santa Terezinha</t>
  </si>
  <si>
    <t>Santa Terezinha do Progresso</t>
  </si>
  <si>
    <t>Santiago do Sul</t>
  </si>
  <si>
    <t>Santo Amaro da Imperatriz</t>
  </si>
  <si>
    <t>São Bernardino</t>
  </si>
  <si>
    <t>São Bento do Sul</t>
  </si>
  <si>
    <t>São Bonifácio</t>
  </si>
  <si>
    <t>São Cristovão do Sul</t>
  </si>
  <si>
    <t>São Domingos</t>
  </si>
  <si>
    <t>São Francisco do Sul</t>
  </si>
  <si>
    <t>São João do Oeste</t>
  </si>
  <si>
    <t>São João Batista</t>
  </si>
  <si>
    <t>São João do Itaperiú</t>
  </si>
  <si>
    <t>São João do Sul</t>
  </si>
  <si>
    <t>São Joaquim</t>
  </si>
  <si>
    <t>São José</t>
  </si>
  <si>
    <t>São José do Cedro</t>
  </si>
  <si>
    <t>São José do Cerrito</t>
  </si>
  <si>
    <t>São Lourenço do Oeste</t>
  </si>
  <si>
    <t>São Ludgero</t>
  </si>
  <si>
    <t>São Martinho</t>
  </si>
  <si>
    <t>São Miguel da Boa Vista</t>
  </si>
  <si>
    <t>São Miguel do Oeste</t>
  </si>
  <si>
    <t>São Pedro de Alcântara</t>
  </si>
  <si>
    <t>Saudades</t>
  </si>
  <si>
    <t>Schroeder</t>
  </si>
  <si>
    <t>Seara</t>
  </si>
  <si>
    <t>Serra Alta</t>
  </si>
  <si>
    <t>Siderópolis</t>
  </si>
  <si>
    <t>Sombrio</t>
  </si>
  <si>
    <t>Sul Brasil</t>
  </si>
  <si>
    <t>Taió</t>
  </si>
  <si>
    <t>Tangará</t>
  </si>
  <si>
    <t>Tigrinhos</t>
  </si>
  <si>
    <t>Tijucas</t>
  </si>
  <si>
    <t>Timbé do Sul</t>
  </si>
  <si>
    <t>Timbó</t>
  </si>
  <si>
    <t>Timbó Grande</t>
  </si>
  <si>
    <t>Três Barras</t>
  </si>
  <si>
    <t>Treviso</t>
  </si>
  <si>
    <t>Treze de Maio</t>
  </si>
  <si>
    <t>Treze Tílias</t>
  </si>
  <si>
    <t>Trombudo Central</t>
  </si>
  <si>
    <t>Tubarão</t>
  </si>
  <si>
    <t>Tunápolis</t>
  </si>
  <si>
    <t>União do Oeste</t>
  </si>
  <si>
    <t>Urubici</t>
  </si>
  <si>
    <t>Urupema</t>
  </si>
  <si>
    <t>Urussanga</t>
  </si>
  <si>
    <t>Vargeão</t>
  </si>
  <si>
    <t>Vargem Bonita</t>
  </si>
  <si>
    <t>Vidal Ramos</t>
  </si>
  <si>
    <t>Videira</t>
  </si>
  <si>
    <t>Vitor Meireles</t>
  </si>
  <si>
    <t>Witmarsum</t>
  </si>
  <si>
    <t>Xanxerê</t>
  </si>
  <si>
    <t>Xavantina</t>
  </si>
  <si>
    <t>Xaxim</t>
  </si>
  <si>
    <t>Zortéa</t>
  </si>
  <si>
    <t>Balneário Rincão</t>
  </si>
  <si>
    <t>RS</t>
  </si>
  <si>
    <t>Aceguá</t>
  </si>
  <si>
    <t>Água Santa</t>
  </si>
  <si>
    <t>Agudo</t>
  </si>
  <si>
    <t>Ajuricaba</t>
  </si>
  <si>
    <t>Alecrim</t>
  </si>
  <si>
    <t>Alegrete</t>
  </si>
  <si>
    <t>Alegria</t>
  </si>
  <si>
    <t>Almirante Tamandaré do Sul</t>
  </si>
  <si>
    <t>Alpestre</t>
  </si>
  <si>
    <t>Alto Feliz</t>
  </si>
  <si>
    <t>Alvorada</t>
  </si>
  <si>
    <t>Amaral Ferrador</t>
  </si>
  <si>
    <t>Ametista do Sul</t>
  </si>
  <si>
    <t>André da Rocha</t>
  </si>
  <si>
    <t>Anta Gorda</t>
  </si>
  <si>
    <t>Antônio Prado</t>
  </si>
  <si>
    <t>Arambaré</t>
  </si>
  <si>
    <t>Araricá</t>
  </si>
  <si>
    <t>Aratiba</t>
  </si>
  <si>
    <t>Arroio do Meio</t>
  </si>
  <si>
    <t>Arroio do Sal</t>
  </si>
  <si>
    <t>Arroio do Padre</t>
  </si>
  <si>
    <t>Arroio Dos Ratos</t>
  </si>
  <si>
    <t>Arroio do Tigre</t>
  </si>
  <si>
    <t>Arroio Grande</t>
  </si>
  <si>
    <t>Arvorezinha</t>
  </si>
  <si>
    <t>Augusto Pestana</t>
  </si>
  <si>
    <t>Áurea</t>
  </si>
  <si>
    <t>Bagé</t>
  </si>
  <si>
    <t>Balneário Pinhal</t>
  </si>
  <si>
    <t>Barão</t>
  </si>
  <si>
    <t>Barão de Cotegipe</t>
  </si>
  <si>
    <t>Barão do Triunfo</t>
  </si>
  <si>
    <t>Barra do Guarita</t>
  </si>
  <si>
    <t>Barra do Quaraí</t>
  </si>
  <si>
    <t>Barra do Ribeiro</t>
  </si>
  <si>
    <t>Barra do Rio Azul</t>
  </si>
  <si>
    <t>Barra Funda</t>
  </si>
  <si>
    <t>Barros Cassal</t>
  </si>
  <si>
    <t>Benjamin Constant do Sul</t>
  </si>
  <si>
    <t>Bento Gonçalves</t>
  </si>
  <si>
    <t>Boa Vista Das Missões</t>
  </si>
  <si>
    <t>Boa Vista do Buricá</t>
  </si>
  <si>
    <t>Boa Vista do Cadeado</t>
  </si>
  <si>
    <t>Boa Vista do Incra</t>
  </si>
  <si>
    <t>Boa Vista do Sul</t>
  </si>
  <si>
    <t>Bom Princípio</t>
  </si>
  <si>
    <t>Bom Progresso</t>
  </si>
  <si>
    <t>Bom Retiro do Sul</t>
  </si>
  <si>
    <t>Boqueirão do Leão</t>
  </si>
  <si>
    <t>Bossoroca</t>
  </si>
  <si>
    <t>Bozano</t>
  </si>
  <si>
    <t>Braga</t>
  </si>
  <si>
    <t>Brochier</t>
  </si>
  <si>
    <t>Butiá</t>
  </si>
  <si>
    <t>Caçapava do Sul</t>
  </si>
  <si>
    <t>Cacequi</t>
  </si>
  <si>
    <t>Cachoeira do Sul</t>
  </si>
  <si>
    <t>Cachoeirinha</t>
  </si>
  <si>
    <t>Cacique Doble</t>
  </si>
  <si>
    <t>Caibaté</t>
  </si>
  <si>
    <t>Caiçara</t>
  </si>
  <si>
    <t>Camaquã</t>
  </si>
  <si>
    <t>Camargo</t>
  </si>
  <si>
    <t>Cambará do Sul</t>
  </si>
  <si>
    <t>Campestre da Serra</t>
  </si>
  <si>
    <t>Campina Das Missões</t>
  </si>
  <si>
    <t>Campinas do Sul</t>
  </si>
  <si>
    <t>Campo Bom</t>
  </si>
  <si>
    <t>Campo Novo</t>
  </si>
  <si>
    <t>Campos Borges</t>
  </si>
  <si>
    <t>Candelária</t>
  </si>
  <si>
    <t>Cândido Godói</t>
  </si>
  <si>
    <t>Candiota</t>
  </si>
  <si>
    <t>Canela</t>
  </si>
  <si>
    <t>Canguçu</t>
  </si>
  <si>
    <t>Canoas</t>
  </si>
  <si>
    <t>Canudos do Vale</t>
  </si>
  <si>
    <t>Capão Bonito do Sul</t>
  </si>
  <si>
    <t>Capão da Canoa</t>
  </si>
  <si>
    <t>Capão do Cipó</t>
  </si>
  <si>
    <t>Capão do Leão</t>
  </si>
  <si>
    <t>Capivari do Sul</t>
  </si>
  <si>
    <t>Capela de Santana</t>
  </si>
  <si>
    <t>Capitão</t>
  </si>
  <si>
    <t>Carazinho</t>
  </si>
  <si>
    <t>Caraá</t>
  </si>
  <si>
    <t>Carlos Barbosa</t>
  </si>
  <si>
    <t>Carlos Gomes</t>
  </si>
  <si>
    <t>Casca</t>
  </si>
  <si>
    <t>Caseiros</t>
  </si>
  <si>
    <t>Catuípe</t>
  </si>
  <si>
    <t>Caxias do Sul</t>
  </si>
  <si>
    <t>Centenário</t>
  </si>
  <si>
    <t>Cerrito</t>
  </si>
  <si>
    <t>Cerro Branco</t>
  </si>
  <si>
    <t>Cerro Grande</t>
  </si>
  <si>
    <t>Cerro Grande do Sul</t>
  </si>
  <si>
    <t>Cerro Largo</t>
  </si>
  <si>
    <t>Chapada</t>
  </si>
  <si>
    <t>Charqueadas</t>
  </si>
  <si>
    <t>Charrua</t>
  </si>
  <si>
    <t>Chiapetta</t>
  </si>
  <si>
    <t>Chuí</t>
  </si>
  <si>
    <t>Chuvisca</t>
  </si>
  <si>
    <t>Cidreira</t>
  </si>
  <si>
    <t>Ciríaco</t>
  </si>
  <si>
    <t>Colinas</t>
  </si>
  <si>
    <t>Condor</t>
  </si>
  <si>
    <t>Constantina</t>
  </si>
  <si>
    <t>Coqueiro Baixo</t>
  </si>
  <si>
    <t>Coqueiros do Sul</t>
  </si>
  <si>
    <t>Coronel Barros</t>
  </si>
  <si>
    <t>Coronel Bicaco</t>
  </si>
  <si>
    <t>Coronel Pilar</t>
  </si>
  <si>
    <t>Cotiporã</t>
  </si>
  <si>
    <t>Coxilha</t>
  </si>
  <si>
    <t>Crissiumal</t>
  </si>
  <si>
    <t>Cristal</t>
  </si>
  <si>
    <t>Cristal do Sul</t>
  </si>
  <si>
    <t>Cruz Alta</t>
  </si>
  <si>
    <t>Cruzaltense</t>
  </si>
  <si>
    <t>David Canabarro</t>
  </si>
  <si>
    <t>Derrubadas</t>
  </si>
  <si>
    <t>Dezesseis de Novembro</t>
  </si>
  <si>
    <t>Dilermando de Aguiar</t>
  </si>
  <si>
    <t>Dois Irmãos</t>
  </si>
  <si>
    <t>Dois Irmãos Das Missões</t>
  </si>
  <si>
    <t>Dois Lajeados</t>
  </si>
  <si>
    <t>Dom Feliciano</t>
  </si>
  <si>
    <t>Dom Pedro de Alcântara</t>
  </si>
  <si>
    <t>Dom Pedrito</t>
  </si>
  <si>
    <t>Dona Francisca</t>
  </si>
  <si>
    <t>Doutor Maurício Cardoso</t>
  </si>
  <si>
    <t>Doutor Ricardo</t>
  </si>
  <si>
    <t>Eldorado do Sul</t>
  </si>
  <si>
    <t>Encantado</t>
  </si>
  <si>
    <t>Encruzilhada do Sul</t>
  </si>
  <si>
    <t>Engenho Velho</t>
  </si>
  <si>
    <t>Entre-ijuís</t>
  </si>
  <si>
    <t>Entre Rios do Sul</t>
  </si>
  <si>
    <t>Erebango</t>
  </si>
  <si>
    <t>Erechim</t>
  </si>
  <si>
    <t>Ernestina</t>
  </si>
  <si>
    <t>Herval</t>
  </si>
  <si>
    <t>Erval Grande</t>
  </si>
  <si>
    <t>Erval Seco</t>
  </si>
  <si>
    <t>Esmeralda</t>
  </si>
  <si>
    <t>Esperança do Sul</t>
  </si>
  <si>
    <t>Espumoso</t>
  </si>
  <si>
    <t>Estação</t>
  </si>
  <si>
    <t>Estância Velha</t>
  </si>
  <si>
    <t>Esteio</t>
  </si>
  <si>
    <t>Estrela</t>
  </si>
  <si>
    <t>Estrela Velha</t>
  </si>
  <si>
    <t>Eugênio de Castro</t>
  </si>
  <si>
    <t>Fagundes Varela</t>
  </si>
  <si>
    <t>Farroupilha</t>
  </si>
  <si>
    <t>Faxinal do Soturno</t>
  </si>
  <si>
    <t>Faxinalzinho</t>
  </si>
  <si>
    <t>Fazenda Vilanova</t>
  </si>
  <si>
    <t>Feliz</t>
  </si>
  <si>
    <t>Flores da Cunha</t>
  </si>
  <si>
    <t>Floriano Peixoto</t>
  </si>
  <si>
    <t>Fontoura Xavier</t>
  </si>
  <si>
    <t>Formigueiro</t>
  </si>
  <si>
    <t>Forquetinha</t>
  </si>
  <si>
    <t>Fortaleza Dos Valos</t>
  </si>
  <si>
    <t>Frederico Westphalen</t>
  </si>
  <si>
    <t>Garibaldi</t>
  </si>
  <si>
    <t>Garruchos</t>
  </si>
  <si>
    <t>Gaurama</t>
  </si>
  <si>
    <t>General Câmara</t>
  </si>
  <si>
    <t>Gentil</t>
  </si>
  <si>
    <t>Getúlio Vargas</t>
  </si>
  <si>
    <t>Giruá</t>
  </si>
  <si>
    <t>Glorinha</t>
  </si>
  <si>
    <t>Gramado</t>
  </si>
  <si>
    <t>Gramado Dos Loureiros</t>
  </si>
  <si>
    <t>Gramado Xavier</t>
  </si>
  <si>
    <t>Gravataí</t>
  </si>
  <si>
    <t>Guabiju</t>
  </si>
  <si>
    <t>Guaíba</t>
  </si>
  <si>
    <t>Guaporé</t>
  </si>
  <si>
    <t>Guarani Das Missões</t>
  </si>
  <si>
    <t>Harmonia</t>
  </si>
  <si>
    <t>Herveiras</t>
  </si>
  <si>
    <t>Horizontina</t>
  </si>
  <si>
    <t>Hulha Negra</t>
  </si>
  <si>
    <t>Humaitá</t>
  </si>
  <si>
    <t>Ibarama</t>
  </si>
  <si>
    <t>Ibiaçá</t>
  </si>
  <si>
    <t>Ibiraiaras</t>
  </si>
  <si>
    <t>Ibirapuitã</t>
  </si>
  <si>
    <t>Ibirubá</t>
  </si>
  <si>
    <t>Igrejinha</t>
  </si>
  <si>
    <t>Ijuí</t>
  </si>
  <si>
    <t>Ilópolis</t>
  </si>
  <si>
    <t>Imbé</t>
  </si>
  <si>
    <t>Imigrante</t>
  </si>
  <si>
    <t>Independência</t>
  </si>
  <si>
    <t>Inhacorá</t>
  </si>
  <si>
    <t>Ipê</t>
  </si>
  <si>
    <t>Ipiranga do Sul</t>
  </si>
  <si>
    <t>Iraí</t>
  </si>
  <si>
    <t>Itaara</t>
  </si>
  <si>
    <t>Itacurubi</t>
  </si>
  <si>
    <t>Itapuca</t>
  </si>
  <si>
    <t>Itaqui</t>
  </si>
  <si>
    <t>Itati</t>
  </si>
  <si>
    <t>Itatiba do Sul</t>
  </si>
  <si>
    <t>Ivorá</t>
  </si>
  <si>
    <t>Ivoti</t>
  </si>
  <si>
    <t>Jaboticaba</t>
  </si>
  <si>
    <t>Jacuizinho</t>
  </si>
  <si>
    <t>Jacutinga</t>
  </si>
  <si>
    <t>Jaguarão</t>
  </si>
  <si>
    <t>Jaguari</t>
  </si>
  <si>
    <t>Jaquirana</t>
  </si>
  <si>
    <t>Jari</t>
  </si>
  <si>
    <t>Jóia</t>
  </si>
  <si>
    <t>Júlio de Castilhos</t>
  </si>
  <si>
    <t>Lagoa Bonita do Sul</t>
  </si>
  <si>
    <t>Lagoão</t>
  </si>
  <si>
    <t>Lagoa Dos Três Cantos</t>
  </si>
  <si>
    <t>Lagoa Vermelha</t>
  </si>
  <si>
    <t>Lajeado</t>
  </si>
  <si>
    <t>Lajeado do Bugre</t>
  </si>
  <si>
    <t>Lavras do Sul</t>
  </si>
  <si>
    <t>Liberato Salzano</t>
  </si>
  <si>
    <t>Lindolfo Collor</t>
  </si>
  <si>
    <t>Linha Nova</t>
  </si>
  <si>
    <t>Machadinho</t>
  </si>
  <si>
    <t>Maçambara</t>
  </si>
  <si>
    <t>Mampituba</t>
  </si>
  <si>
    <t>Manoel Viana</t>
  </si>
  <si>
    <t>Maquiné</t>
  </si>
  <si>
    <t>Maratá</t>
  </si>
  <si>
    <t>Marau</t>
  </si>
  <si>
    <t>Marcelino Ramos</t>
  </si>
  <si>
    <t>Mariana Pimentel</t>
  </si>
  <si>
    <t>Mariano Moro</t>
  </si>
  <si>
    <t>Marques de Souza</t>
  </si>
  <si>
    <t>Mata</t>
  </si>
  <si>
    <t>Mato Castelhano</t>
  </si>
  <si>
    <t>Mato Leitão</t>
  </si>
  <si>
    <t>Mato Queimado</t>
  </si>
  <si>
    <t>Maximiliano de Almeida</t>
  </si>
  <si>
    <t>Minas do Leão</t>
  </si>
  <si>
    <t>Miraguaí</t>
  </si>
  <si>
    <t>Montauri</t>
  </si>
  <si>
    <t>Monte Alegre Dos Campos</t>
  </si>
  <si>
    <t>Monte Belo do Sul</t>
  </si>
  <si>
    <t>Montenegro</t>
  </si>
  <si>
    <t>Mormaço</t>
  </si>
  <si>
    <t>Morrinhos do Sul</t>
  </si>
  <si>
    <t>Morro Redondo</t>
  </si>
  <si>
    <t>Morro Reuter</t>
  </si>
  <si>
    <t>Mostardas</t>
  </si>
  <si>
    <t>Muçum</t>
  </si>
  <si>
    <t>Muitos Capões</t>
  </si>
  <si>
    <t>Muliterno</t>
  </si>
  <si>
    <t>Não-me-toque</t>
  </si>
  <si>
    <t>Nicolau Vergueiro</t>
  </si>
  <si>
    <t>Nonoai</t>
  </si>
  <si>
    <t>Nova Alvorada</t>
  </si>
  <si>
    <t>Nova Araçá</t>
  </si>
  <si>
    <t>Nova Bassano</t>
  </si>
  <si>
    <t>Nova Boa Vista</t>
  </si>
  <si>
    <t>Nova Bréscia</t>
  </si>
  <si>
    <t>Nova Candelária</t>
  </si>
  <si>
    <t>Nova Esperança do Sul</t>
  </si>
  <si>
    <t>Nova Hartz</t>
  </si>
  <si>
    <t>Nova Pádua</t>
  </si>
  <si>
    <t>Nova Palma</t>
  </si>
  <si>
    <t>Nova Petrópolis</t>
  </si>
  <si>
    <t>Nova Prata</t>
  </si>
  <si>
    <t>Nova Ramada</t>
  </si>
  <si>
    <t>Nova Roma do Sul</t>
  </si>
  <si>
    <t>Nova Santa Rita</t>
  </si>
  <si>
    <t>Novo Cabrais</t>
  </si>
  <si>
    <t>Novo Hamburgo</t>
  </si>
  <si>
    <t>Novo Machado</t>
  </si>
  <si>
    <t>Novo Tiradentes</t>
  </si>
  <si>
    <t>Novo Xingu</t>
  </si>
  <si>
    <t>Novo Barreiro</t>
  </si>
  <si>
    <t>Osório</t>
  </si>
  <si>
    <t>Paim Filho</t>
  </si>
  <si>
    <t>Palmares do Sul</t>
  </si>
  <si>
    <t>Palmeira Das Missões</t>
  </si>
  <si>
    <t>Palmitinho</t>
  </si>
  <si>
    <t>Panambi</t>
  </si>
  <si>
    <t>Pantano Grande</t>
  </si>
  <si>
    <t>Paraí</t>
  </si>
  <si>
    <t>Paraíso do Sul</t>
  </si>
  <si>
    <t>Pareci Novo</t>
  </si>
  <si>
    <t>Parobé</t>
  </si>
  <si>
    <t>Passa Sete</t>
  </si>
  <si>
    <t>Passo do Sobrado</t>
  </si>
  <si>
    <t>Passo Fundo</t>
  </si>
  <si>
    <t>Paulo Bento</t>
  </si>
  <si>
    <t>Paverama</t>
  </si>
  <si>
    <t>Pedras Altas</t>
  </si>
  <si>
    <t>Pedro Osório</t>
  </si>
  <si>
    <t>Pejuçara</t>
  </si>
  <si>
    <t>Pelotas</t>
  </si>
  <si>
    <t>Picada Café</t>
  </si>
  <si>
    <t>Pinhal</t>
  </si>
  <si>
    <t>Pinhal da Serra</t>
  </si>
  <si>
    <t>Pinhal Grande</t>
  </si>
  <si>
    <t>Pinheirinho do Vale</t>
  </si>
  <si>
    <t>Pinheiro Machado</t>
  </si>
  <si>
    <t>Pinto Bandeira</t>
  </si>
  <si>
    <t>Pirapó</t>
  </si>
  <si>
    <t>Piratini</t>
  </si>
  <si>
    <t>Poço Das Antas</t>
  </si>
  <si>
    <t>Pontão</t>
  </si>
  <si>
    <t>Ponte Preta</t>
  </si>
  <si>
    <t>Portão</t>
  </si>
  <si>
    <t>Porto Alegre</t>
  </si>
  <si>
    <t>Porto Lucena</t>
  </si>
  <si>
    <t>Porto Mauá</t>
  </si>
  <si>
    <t>Porto Vera Cruz</t>
  </si>
  <si>
    <t>Porto Xavier</t>
  </si>
  <si>
    <t>Pouso Novo</t>
  </si>
  <si>
    <t>Presidente Lucena</t>
  </si>
  <si>
    <t>Progresso</t>
  </si>
  <si>
    <t>Protásio Alves</t>
  </si>
  <si>
    <t>Putinga</t>
  </si>
  <si>
    <t>Quaraí</t>
  </si>
  <si>
    <t>Quatro Irmãos</t>
  </si>
  <si>
    <t>Quevedos</t>
  </si>
  <si>
    <t>Quinze de Novembro</t>
  </si>
  <si>
    <t>Redentora</t>
  </si>
  <si>
    <t>Relvado</t>
  </si>
  <si>
    <t>Restinga Seca</t>
  </si>
  <si>
    <t>Rio Dos Índios</t>
  </si>
  <si>
    <t>Rio Grande</t>
  </si>
  <si>
    <t>Rio Pardo</t>
  </si>
  <si>
    <t>Riozinho</t>
  </si>
  <si>
    <t>Roca Sales</t>
  </si>
  <si>
    <t>Rodeio Bonito</t>
  </si>
  <si>
    <t>Rolador</t>
  </si>
  <si>
    <t>Rolante</t>
  </si>
  <si>
    <t>Ronda Alta</t>
  </si>
  <si>
    <t>Rondinha</t>
  </si>
  <si>
    <t>Roque Gonzales</t>
  </si>
  <si>
    <t>Rosário do Sul</t>
  </si>
  <si>
    <t>Sagrada Família</t>
  </si>
  <si>
    <t>Saldanha Marinho</t>
  </si>
  <si>
    <t>Salto do Jacuí</t>
  </si>
  <si>
    <t>Salvador Das Missões</t>
  </si>
  <si>
    <t>Salvador do Sul</t>
  </si>
  <si>
    <t>Sananduva</t>
  </si>
  <si>
    <t>Santa Bárbara do Sul</t>
  </si>
  <si>
    <t>Santa Cecília do Sul</t>
  </si>
  <si>
    <t>Santa Clara do Sul</t>
  </si>
  <si>
    <t>Santa Cruz do Sul</t>
  </si>
  <si>
    <t>Santa Maria</t>
  </si>
  <si>
    <t>Santa Maria do Herval</t>
  </si>
  <si>
    <t>Santa Margarida do Sul</t>
  </si>
  <si>
    <t>Santana da Boa Vista</t>
  </si>
  <si>
    <t>Santana do Livramento</t>
  </si>
  <si>
    <t>Santa Rosa</t>
  </si>
  <si>
    <t>Santa Tereza</t>
  </si>
  <si>
    <t>Santa Vitória do Palmar</t>
  </si>
  <si>
    <t>Santiago</t>
  </si>
  <si>
    <t>Santo Ângelo</t>
  </si>
  <si>
    <t>Santo Antônio do Palma</t>
  </si>
  <si>
    <t>Santo Antônio da Patrulha</t>
  </si>
  <si>
    <t>Santo Antônio Das Missões</t>
  </si>
  <si>
    <t>Santo Antônio do Planalto</t>
  </si>
  <si>
    <t>Santo Augusto</t>
  </si>
  <si>
    <t>Santo Cristo</t>
  </si>
  <si>
    <t>Santo Expedito do Sul</t>
  </si>
  <si>
    <t>São Borja</t>
  </si>
  <si>
    <t>São Domingos do Sul</t>
  </si>
  <si>
    <t>São Francisco de Assis</t>
  </si>
  <si>
    <t>São Francisco de Paula</t>
  </si>
  <si>
    <t>São Gabriel</t>
  </si>
  <si>
    <t>São Jerônimo</t>
  </si>
  <si>
    <t>São João da Urtiga</t>
  </si>
  <si>
    <t>São João do Polêsine</t>
  </si>
  <si>
    <t>São Jorge</t>
  </si>
  <si>
    <t>São José Das Missões</t>
  </si>
  <si>
    <t>São José do Herval</t>
  </si>
  <si>
    <t>São José do Hortêncio</t>
  </si>
  <si>
    <t>São José do Inhacorá</t>
  </si>
  <si>
    <t>São José do Norte</t>
  </si>
  <si>
    <t>São José do Ouro</t>
  </si>
  <si>
    <t>São José do Sul</t>
  </si>
  <si>
    <t>São José Dos Ausentes</t>
  </si>
  <si>
    <t>São Leopoldo</t>
  </si>
  <si>
    <t>São Lourenço do Sul</t>
  </si>
  <si>
    <t>São Luiz Gonzaga</t>
  </si>
  <si>
    <t>São Marcos</t>
  </si>
  <si>
    <t>São Martinho da Serra</t>
  </si>
  <si>
    <t>São Miguel Das Missões</t>
  </si>
  <si>
    <t>São Nicolau</t>
  </si>
  <si>
    <t>São Paulo Das Missões</t>
  </si>
  <si>
    <t>São Pedro da Serra</t>
  </si>
  <si>
    <t>São Pedro Das Missões</t>
  </si>
  <si>
    <t>São Pedro do Butiá</t>
  </si>
  <si>
    <t>São Pedro do Sul</t>
  </si>
  <si>
    <t>São Sebastião do Caí</t>
  </si>
  <si>
    <t>São Sepé</t>
  </si>
  <si>
    <t>São Valentim</t>
  </si>
  <si>
    <t>São Valentim do Sul</t>
  </si>
  <si>
    <t>São Valério do Sul</t>
  </si>
  <si>
    <t>São Vendelino</t>
  </si>
  <si>
    <t>São Vicente do Sul</t>
  </si>
  <si>
    <t>Sapiranga</t>
  </si>
  <si>
    <t>Sapucaia do Sul</t>
  </si>
  <si>
    <t>Seberi</t>
  </si>
  <si>
    <t>Sede Nova</t>
  </si>
  <si>
    <t>Segredo</t>
  </si>
  <si>
    <t>Selbach</t>
  </si>
  <si>
    <t>Senador Salgado Filho</t>
  </si>
  <si>
    <t>Sentinela do Sul</t>
  </si>
  <si>
    <t>Serafina Corrêa</t>
  </si>
  <si>
    <t>Sério</t>
  </si>
  <si>
    <t>Sertão</t>
  </si>
  <si>
    <t>Sertão Santana</t>
  </si>
  <si>
    <t>Sete de Setembro</t>
  </si>
  <si>
    <t>Severiano de Almeida</t>
  </si>
  <si>
    <t>Silveira Martins</t>
  </si>
  <si>
    <t>Sinimbu</t>
  </si>
  <si>
    <t>Sobradinho</t>
  </si>
  <si>
    <t>Soledade</t>
  </si>
  <si>
    <t>Tabaí</t>
  </si>
  <si>
    <t>Tapera</t>
  </si>
  <si>
    <t>Tapes</t>
  </si>
  <si>
    <t>Taquara</t>
  </si>
  <si>
    <t>Taquari</t>
  </si>
  <si>
    <t>Taquaruçu do Sul</t>
  </si>
  <si>
    <t>Tavares</t>
  </si>
  <si>
    <t>Tenente Portela</t>
  </si>
  <si>
    <t>Terra de Areia</t>
  </si>
  <si>
    <t>Teutônia</t>
  </si>
  <si>
    <t>Tio Hugo</t>
  </si>
  <si>
    <t>Tiradentes do Sul</t>
  </si>
  <si>
    <t>Toropi</t>
  </si>
  <si>
    <t>Torres</t>
  </si>
  <si>
    <t>Tramandaí</t>
  </si>
  <si>
    <t>Travesseiro</t>
  </si>
  <si>
    <t>Três Arroios</t>
  </si>
  <si>
    <t>Três Cachoeiras</t>
  </si>
  <si>
    <t>Três Coroas</t>
  </si>
  <si>
    <t>Três de Maio</t>
  </si>
  <si>
    <t>Três Forquilhas</t>
  </si>
  <si>
    <t>Três Palmeiras</t>
  </si>
  <si>
    <t>Três Passos</t>
  </si>
  <si>
    <t>Trindade do Sul</t>
  </si>
  <si>
    <t>Triunfo</t>
  </si>
  <si>
    <t>Tucunduva</t>
  </si>
  <si>
    <t>Tunas</t>
  </si>
  <si>
    <t>Tupanci do Sul</t>
  </si>
  <si>
    <t>Tupanciretã</t>
  </si>
  <si>
    <t>Tupandi</t>
  </si>
  <si>
    <t>Tuparendi</t>
  </si>
  <si>
    <t>Turuçu</t>
  </si>
  <si>
    <t>Ubiretama</t>
  </si>
  <si>
    <t>União da Serra</t>
  </si>
  <si>
    <t>Unistalda</t>
  </si>
  <si>
    <t>Uruguaiana</t>
  </si>
  <si>
    <t>Vacaria</t>
  </si>
  <si>
    <t>Vale Verde</t>
  </si>
  <si>
    <t>Vale do Sol</t>
  </si>
  <si>
    <t>Vale Real</t>
  </si>
  <si>
    <t>Vanini</t>
  </si>
  <si>
    <t>Venâncio Aires</t>
  </si>
  <si>
    <t>Veranópolis</t>
  </si>
  <si>
    <t>Vespasiano Correa</t>
  </si>
  <si>
    <t>Viadutos</t>
  </si>
  <si>
    <t>Viamão</t>
  </si>
  <si>
    <t>Vicente Dutra</t>
  </si>
  <si>
    <t>Victor Graeff</t>
  </si>
  <si>
    <t>Vila Flores</t>
  </si>
  <si>
    <t>Vila Lângaro</t>
  </si>
  <si>
    <t>Vila Maria</t>
  </si>
  <si>
    <t>Vila Nova do Sul</t>
  </si>
  <si>
    <t>Vista Alegre</t>
  </si>
  <si>
    <t>Vista Alegre do Prata</t>
  </si>
  <si>
    <t>Vista Gaúcha</t>
  </si>
  <si>
    <t>Vitória Das Missões</t>
  </si>
  <si>
    <t>Westfalia</t>
  </si>
  <si>
    <t>Xangri-lá</t>
  </si>
  <si>
    <t>MS</t>
  </si>
  <si>
    <t>Água Clara</t>
  </si>
  <si>
    <t>Alcinópolis</t>
  </si>
  <si>
    <t>Amambaí</t>
  </si>
  <si>
    <t>Anastácio</t>
  </si>
  <si>
    <t>Anaurilândia</t>
  </si>
  <si>
    <t>Angélica</t>
  </si>
  <si>
    <t>Antônio João</t>
  </si>
  <si>
    <t>Aparecida do Taboado</t>
  </si>
  <si>
    <t>Aquidauana</t>
  </si>
  <si>
    <t>Aral Moreira</t>
  </si>
  <si>
    <t>Bataguassu</t>
  </si>
  <si>
    <t>Batayporã</t>
  </si>
  <si>
    <t>Bela Vista</t>
  </si>
  <si>
    <t>Bodoquena</t>
  </si>
  <si>
    <t>Bonito</t>
  </si>
  <si>
    <t>Brasilândia</t>
  </si>
  <si>
    <t>Caarapó</t>
  </si>
  <si>
    <t>Camapuã</t>
  </si>
  <si>
    <t>Campo Grande</t>
  </si>
  <si>
    <t>Caracol</t>
  </si>
  <si>
    <t>Cassilândia</t>
  </si>
  <si>
    <t>Chapadão do Sul</t>
  </si>
  <si>
    <t>Corguinho</t>
  </si>
  <si>
    <t>Coronel Sapucaia</t>
  </si>
  <si>
    <t>Corumbá</t>
  </si>
  <si>
    <t>Costa Rica</t>
  </si>
  <si>
    <t>Coxim</t>
  </si>
  <si>
    <t>Deodápolis</t>
  </si>
  <si>
    <t>Dois Irmãos do Buriti</t>
  </si>
  <si>
    <t>Dourados</t>
  </si>
  <si>
    <t>Fátima do Sul</t>
  </si>
  <si>
    <t>Figueirão</t>
  </si>
  <si>
    <t>Glória de Dourados</t>
  </si>
  <si>
    <t>Guia Lopes da Laguna</t>
  </si>
  <si>
    <t>Iguatemi</t>
  </si>
  <si>
    <t>Inocência</t>
  </si>
  <si>
    <t>Itaporã</t>
  </si>
  <si>
    <t>Itaquiraí</t>
  </si>
  <si>
    <t>Ivinhema</t>
  </si>
  <si>
    <t>Japorã</t>
  </si>
  <si>
    <t>Jaraguari</t>
  </si>
  <si>
    <t>Jardim</t>
  </si>
  <si>
    <t>Jateí</t>
  </si>
  <si>
    <t>Juti</t>
  </si>
  <si>
    <t>Ladário</t>
  </si>
  <si>
    <t>Laguna Carapã</t>
  </si>
  <si>
    <t>Maracaju</t>
  </si>
  <si>
    <t>Miranda</t>
  </si>
  <si>
    <t>Mundo Novo</t>
  </si>
  <si>
    <t>Naviraí</t>
  </si>
  <si>
    <t>Nioaque</t>
  </si>
  <si>
    <t>Nova Alvorada do Sul</t>
  </si>
  <si>
    <t>Nova Andradina</t>
  </si>
  <si>
    <t>Novo Horizonte do Sul</t>
  </si>
  <si>
    <t>Paraíso das Águas</t>
  </si>
  <si>
    <t>Paranaíba</t>
  </si>
  <si>
    <t>Paranhos</t>
  </si>
  <si>
    <t>Pedro Gomes</t>
  </si>
  <si>
    <t>Ponta Porã</t>
  </si>
  <si>
    <t>Porto Murtinho</t>
  </si>
  <si>
    <t>Ribas do Rio Pardo</t>
  </si>
  <si>
    <t>Rio Brilhante</t>
  </si>
  <si>
    <t>Rio Verde de Mato Grosso</t>
  </si>
  <si>
    <t>Rochedo</t>
  </si>
  <si>
    <t>Santa Rita do Pardo</t>
  </si>
  <si>
    <t>São Gabriel do Oeste</t>
  </si>
  <si>
    <t>Sete Quedas</t>
  </si>
  <si>
    <t>Selvíria</t>
  </si>
  <si>
    <t>Sidrolândia</t>
  </si>
  <si>
    <t>Sonora</t>
  </si>
  <si>
    <t>Tacuru</t>
  </si>
  <si>
    <t>Taquarussu</t>
  </si>
  <si>
    <t>Terenos</t>
  </si>
  <si>
    <t>Três Lagoas</t>
  </si>
  <si>
    <t>Vicentina</t>
  </si>
  <si>
    <t>Mostarda</t>
  </si>
  <si>
    <t>Faxinal dos Guedes</t>
  </si>
  <si>
    <t>Itapejara D'Oeste</t>
  </si>
  <si>
    <t>Igaraçu do Tiete</t>
  </si>
  <si>
    <t>Wenceslau</t>
  </si>
  <si>
    <t>Candido Godoi</t>
  </si>
  <si>
    <t>Sao Paulo Das Missoes</t>
  </si>
  <si>
    <t>Guarani Das Missoes</t>
  </si>
  <si>
    <t>Sao Borja</t>
  </si>
  <si>
    <t>Tres Passos</t>
  </si>
  <si>
    <t>Boa Vista do Burica</t>
  </si>
  <si>
    <t>Ijui</t>
  </si>
  <si>
    <t>Sao Luiz Gonzaga</t>
  </si>
  <si>
    <t>Tres de Maio</t>
  </si>
  <si>
    <t>Santo Angelo</t>
  </si>
  <si>
    <t>Palmeira Das Missoes</t>
  </si>
  <si>
    <t>Girua</t>
  </si>
  <si>
    <t>Campina Das Missoes</t>
  </si>
  <si>
    <t>Doutor Mauricio Cardoso</t>
  </si>
  <si>
    <t>Concordia</t>
  </si>
  <si>
    <t>Sao Martinho</t>
  </si>
  <si>
    <t>Chapeco</t>
  </si>
  <si>
    <t>Rosario do Sul</t>
  </si>
  <si>
    <t>Sao Gabriel</t>
  </si>
  <si>
    <t>Gravatai</t>
  </si>
  <si>
    <t>Humaita</t>
  </si>
  <si>
    <t>Santa Barbara do Sul</t>
  </si>
  <si>
    <t>Ibiruba</t>
  </si>
  <si>
    <t>Parobe</t>
  </si>
  <si>
    <t>Catuipe</t>
  </si>
  <si>
    <t>Camaqua</t>
  </si>
  <si>
    <t>Bage</t>
  </si>
  <si>
    <t>Tupancireta</t>
  </si>
  <si>
    <t>Guaiba</t>
  </si>
  <si>
    <t>Sao Sebastiao do Cai</t>
  </si>
  <si>
    <t>Estancia Velha</t>
  </si>
  <si>
    <t>Viamao</t>
  </si>
  <si>
    <t>Sao Lourenço do Sul</t>
  </si>
  <si>
    <t>Osorio</t>
  </si>
  <si>
    <t>Tramandai</t>
  </si>
  <si>
    <t>Sao Sepe</t>
  </si>
  <si>
    <t>Sao Leopoldo</t>
  </si>
  <si>
    <t>Portao</t>
  </si>
  <si>
    <t>Sao Francisco de Assis</t>
  </si>
  <si>
    <t>Capao da Canoa</t>
  </si>
  <si>
    <t>Santo Antonio da Patrulha</t>
  </si>
  <si>
    <t>Sao Pedro do Sul</t>
  </si>
  <si>
    <t>Sao Francisco de Paula</t>
  </si>
  <si>
    <t>Nova Petropolis</t>
  </si>
  <si>
    <t>Venancio Aires</t>
  </si>
  <si>
    <t>Candelaria</t>
  </si>
  <si>
    <t>Butia</t>
  </si>
  <si>
    <t>Sao Jeronimo</t>
  </si>
  <si>
    <t>Minas do Leao</t>
  </si>
  <si>
    <t>Teutonia</t>
  </si>
  <si>
    <t>Imbe</t>
  </si>
  <si>
    <t>Sao Vicente do Sul</t>
  </si>
  <si>
    <t>Santo Antonio Das Missoes</t>
  </si>
  <si>
    <t>Quarai</t>
  </si>
  <si>
    <t>Tres Coroas</t>
  </si>
  <si>
    <t>Jaguarao</t>
  </si>
  <si>
    <t>Julio de Castilhos</t>
  </si>
  <si>
    <t>Getulio Vargas</t>
  </si>
  <si>
    <t>Guapore</t>
  </si>
  <si>
    <t>Dois Irmaos</t>
  </si>
  <si>
    <t>Santa Vitoria do Palmar</t>
  </si>
  <si>
    <t>Sao Marcos</t>
  </si>
  <si>
    <t>Xanxere</t>
  </si>
  <si>
    <t>Veranopolis</t>
  </si>
  <si>
    <t>Uniao da Vitoria</t>
  </si>
  <si>
    <t>Sao Lourenço do Oeste</t>
  </si>
  <si>
    <t>Criciuma</t>
  </si>
  <si>
    <t>Sao Joaquim</t>
  </si>
  <si>
    <t>Pedro Osorio</t>
  </si>
  <si>
    <t>Tubarao</t>
  </si>
  <si>
    <t>Otacilio Costa</t>
  </si>
  <si>
    <t>Ampere</t>
  </si>
  <si>
    <t>Sao Bento do Sul</t>
  </si>
  <si>
    <t>Sao Miguel do Oeste</t>
  </si>
  <si>
    <t>Taio</t>
  </si>
  <si>
    <t>Antonio Prado</t>
  </si>
  <si>
    <t>Salto do Jacui</t>
  </si>
  <si>
    <t>Sao Jose do Ouro</t>
  </si>
  <si>
    <t>Entre Ijuis</t>
  </si>
  <si>
    <t>Dionisio Cerqueira</t>
  </si>
  <si>
    <t>Serafina Correa</t>
  </si>
  <si>
    <t>Sao Miguel das Missoes</t>
  </si>
  <si>
    <t>Santo Antonio do Sudoeste</t>
  </si>
  <si>
    <t>Corbelia</t>
  </si>
  <si>
    <t>Tres Cachoeiras</t>
  </si>
  <si>
    <t>Ararangua</t>
  </si>
  <si>
    <t>Sao Jose do Norte</t>
  </si>
  <si>
    <t>Ubirata</t>
  </si>
  <si>
    <t>Francisco Beltrao</t>
  </si>
  <si>
    <t>Sao Ludgero</t>
  </si>
  <si>
    <t>Candoi</t>
  </si>
  <si>
    <t>Pinhao</t>
  </si>
  <si>
    <t>Parai</t>
  </si>
  <si>
    <t>Guaira</t>
  </si>
  <si>
    <t>Caibate</t>
  </si>
  <si>
    <t>Clevelandia</t>
  </si>
  <si>
    <t>Marechal Candido Rondon</t>
  </si>
  <si>
    <t>General Camara</t>
  </si>
  <si>
    <t>Sao Jose do Cedro</t>
  </si>
  <si>
    <t>Timbo</t>
  </si>
  <si>
    <t>Agrolandia</t>
  </si>
  <si>
    <t>Altonia</t>
  </si>
  <si>
    <t>Corupa</t>
  </si>
  <si>
    <t>Sao Miguel do Iguaçu</t>
  </si>
  <si>
    <t>Joia</t>
  </si>
  <si>
    <t>Santa Cecilia</t>
  </si>
  <si>
    <t>Goioere</t>
  </si>
  <si>
    <t>Sao Mateus do Sul</t>
  </si>
  <si>
    <t>Paraiso do Norte</t>
  </si>
  <si>
    <t>Itaiopolis</t>
  </si>
  <si>
    <t>Campo Mourao</t>
  </si>
  <si>
    <t>Cambara do Sul</t>
  </si>
  <si>
    <t>Cafelandia</t>
  </si>
  <si>
    <t>Perola</t>
  </si>
  <si>
    <t>Paranavai</t>
  </si>
  <si>
    <t>Curiuva</t>
  </si>
  <si>
    <t>Prudentopolis</t>
  </si>
  <si>
    <t>Sideropolis</t>
  </si>
  <si>
    <t>Irineopolis</t>
  </si>
  <si>
    <t>Capitao Leonidas Marques</t>
  </si>
  <si>
    <t>Lebon Regis</t>
  </si>
  <si>
    <t>Tres Barras</t>
  </si>
  <si>
    <t>Querencia do Norte</t>
  </si>
  <si>
    <t>Cidade Gaucha</t>
  </si>
  <si>
    <t>Sao Nicolau</t>
  </si>
  <si>
    <t>Cunha Pora</t>
  </si>
  <si>
    <t>Sao Carlos</t>
  </si>
  <si>
    <t>Ipora</t>
  </si>
  <si>
    <t>Sao Joao do Ivai</t>
  </si>
  <si>
    <t>Sao Jose do Cerrito</t>
  </si>
  <si>
    <t>Ibipora</t>
  </si>
  <si>
    <t>Alto Parana</t>
  </si>
  <si>
    <t>Boqueirao do Leao</t>
  </si>
  <si>
    <t>Telemaco Borba</t>
  </si>
  <si>
    <t>Santo Antonio da Platina</t>
  </si>
  <si>
    <t>Presidente Epitacio</t>
  </si>
  <si>
    <t>Ivai</t>
  </si>
  <si>
    <t>Rolandia</t>
  </si>
  <si>
    <t>Junqueiropolis</t>
  </si>
  <si>
    <t>Ipora do Oeste</t>
  </si>
  <si>
    <t>Taguai</t>
  </si>
  <si>
    <t>Caarapo</t>
  </si>
  <si>
    <t>Joaquim Tavora</t>
  </si>
  <si>
    <t>Barao de Cotegipe</t>
  </si>
  <si>
    <t>Itaquirai</t>
  </si>
  <si>
    <t>Bela vista do Paraiso</t>
  </si>
  <si>
    <t>Fatima do Sul</t>
  </si>
  <si>
    <t>Inacio Martins</t>
  </si>
  <si>
    <t>Assai</t>
  </si>
  <si>
    <t>Pirai do Sul</t>
  </si>
  <si>
    <t>Amambai</t>
  </si>
  <si>
    <t>Mondai</t>
  </si>
  <si>
    <t>Cornelio Procopio</t>
  </si>
  <si>
    <t>Cambe</t>
  </si>
  <si>
    <t>Sertanopolis</t>
  </si>
  <si>
    <t>Sao Joao</t>
  </si>
  <si>
    <t>Urai</t>
  </si>
  <si>
    <t>Navirai</t>
  </si>
  <si>
    <t>Japura</t>
  </si>
  <si>
    <t>Candido de Abreu</t>
  </si>
  <si>
    <t>California</t>
  </si>
  <si>
    <t>Santa Fe</t>
  </si>
  <si>
    <t>Senges</t>
  </si>
  <si>
    <t>Engenheiro Beltrao</t>
  </si>
  <si>
    <t>Matelandia</t>
  </si>
  <si>
    <t>Sertao Santana</t>
  </si>
  <si>
    <t>Deodapolis</t>
  </si>
  <si>
    <t>Bom Principio</t>
  </si>
  <si>
    <t>Tupassi</t>
  </si>
  <si>
    <t>Florestopolis</t>
  </si>
  <si>
    <t>Paraiso do Sul</t>
  </si>
  <si>
    <t>Itaipulandia</t>
  </si>
  <si>
    <t>Tres Barras do Parana</t>
  </si>
  <si>
    <t>Agua Doce</t>
  </si>
  <si>
    <t>Pirajui</t>
  </si>
  <si>
    <t>Jesuitas</t>
  </si>
  <si>
    <t>Centenario do Sul</t>
  </si>
  <si>
    <t>Abatia</t>
  </si>
  <si>
    <t>Ribeirao do Pinhal</t>
  </si>
  <si>
    <t>Imbau</t>
  </si>
  <si>
    <t>Balneario Pinhal</t>
  </si>
  <si>
    <t>Tres Lagoas</t>
  </si>
  <si>
    <t>Itapora</t>
  </si>
  <si>
    <t>Ceu Azul</t>
  </si>
  <si>
    <t>Mambore</t>
  </si>
  <si>
    <t>Nao Me Toque</t>
  </si>
  <si>
    <t>Herval d Oeste</t>
  </si>
  <si>
    <t>Sao Jorge d Oeste</t>
  </si>
  <si>
    <t xml:space="preserve">SANTA ROSA </t>
  </si>
  <si>
    <t>CIDADE SINDICATO</t>
  </si>
  <si>
    <t xml:space="preserve">SAPIRANGA </t>
  </si>
  <si>
    <t xml:space="preserve">SANTO ANGELO </t>
  </si>
  <si>
    <t xml:space="preserve">SAO LUIZ GONZAGA </t>
  </si>
  <si>
    <t xml:space="preserve">TRES PASSOS </t>
  </si>
  <si>
    <t xml:space="preserve">PALMEIRA DAS MISSOES </t>
  </si>
  <si>
    <t>BLUMENAU</t>
  </si>
  <si>
    <t>NEGRINHO</t>
  </si>
  <si>
    <t>NAVIRAI</t>
  </si>
  <si>
    <t>IRATI</t>
  </si>
  <si>
    <t>LONDRINA</t>
  </si>
  <si>
    <t>MARINGA</t>
  </si>
  <si>
    <t>IVAIPORA</t>
  </si>
  <si>
    <t>PALOTINA</t>
  </si>
  <si>
    <t>TUPA</t>
  </si>
  <si>
    <t>CRUZ</t>
  </si>
  <si>
    <t>DRACENA</t>
  </si>
  <si>
    <t>BAURU</t>
  </si>
  <si>
    <t>APUCARANA</t>
  </si>
  <si>
    <t>BRUSQUE</t>
  </si>
  <si>
    <t>PARANAVAÍ</t>
  </si>
  <si>
    <t>ITAPEVA</t>
  </si>
  <si>
    <t>ASSIS</t>
  </si>
  <si>
    <t xml:space="preserve"> CONCORDIA</t>
  </si>
  <si>
    <t xml:space="preserve">SANTANA DO LIVRAMENTO </t>
  </si>
  <si>
    <t xml:space="preserve">SAO GABRIEL </t>
  </si>
  <si>
    <t xml:space="preserve">ERECHIM </t>
  </si>
  <si>
    <t xml:space="preserve">PASSO FUNDO </t>
  </si>
  <si>
    <t xml:space="preserve">LAGOA VERMELHA </t>
  </si>
  <si>
    <t xml:space="preserve">TAQUARA </t>
  </si>
  <si>
    <t xml:space="preserve">JULIO DE CASTILHOS </t>
  </si>
  <si>
    <t xml:space="preserve">GUAIBA </t>
  </si>
  <si>
    <t>SAO SEBASTIAO</t>
  </si>
  <si>
    <t>SANTO ANTONIO PATRULHA</t>
  </si>
  <si>
    <t xml:space="preserve">NOVA PRATA </t>
  </si>
  <si>
    <t xml:space="preserve">GRAMADO </t>
  </si>
  <si>
    <t xml:space="preserve">ENCANTADO </t>
  </si>
  <si>
    <t xml:space="preserve">PORTO ALEGRE </t>
  </si>
  <si>
    <t xml:space="preserve">SAO MIGUEL DO OESTE </t>
  </si>
  <si>
    <t xml:space="preserve">SOBRADINHO </t>
  </si>
  <si>
    <t xml:space="preserve">XANXERE </t>
  </si>
  <si>
    <t xml:space="preserve">FLORIANOPOLIS </t>
  </si>
  <si>
    <t xml:space="preserve">UNIAO DA VITORIA </t>
  </si>
  <si>
    <t xml:space="preserve">CURITIBA </t>
  </si>
  <si>
    <t xml:space="preserve">CAMPOS NOVOS </t>
  </si>
  <si>
    <t xml:space="preserve">RIO DO SUL </t>
  </si>
  <si>
    <t xml:space="preserve">CURITIBANOS </t>
  </si>
  <si>
    <t xml:space="preserve">ARARANGUA </t>
  </si>
  <si>
    <t xml:space="preserve">CAMPO MOURAO </t>
  </si>
  <si>
    <t xml:space="preserve">MARECHAL CANDIDO RONDON </t>
  </si>
  <si>
    <t xml:space="preserve">ASSIS CHATEAUBRIAND </t>
  </si>
  <si>
    <t xml:space="preserve">FOZ DO IGUACU </t>
  </si>
  <si>
    <t xml:space="preserve">CAMPO GRANDE </t>
  </si>
  <si>
    <t xml:space="preserve">SANTO ANTONIO DA PLATINA </t>
  </si>
  <si>
    <t>PONTA GROSSA</t>
  </si>
  <si>
    <t>ICARA</t>
  </si>
  <si>
    <t xml:space="preserve">MARINGA </t>
  </si>
  <si>
    <t xml:space="preserve">PRESIDENTE VENCESLAU </t>
  </si>
  <si>
    <t xml:space="preserve">ADAMANTINA </t>
  </si>
  <si>
    <t xml:space="preserve">MARACAJU </t>
  </si>
  <si>
    <t>PONTA PORA</t>
  </si>
  <si>
    <t xml:space="preserve">CORNELIO PROCOPIO </t>
  </si>
  <si>
    <t>GARCA</t>
  </si>
  <si>
    <t>OURINHOS</t>
  </si>
  <si>
    <t>SÃO PAULO</t>
  </si>
  <si>
    <t>SAO PAULO</t>
  </si>
  <si>
    <t xml:space="preserve">SAO PAULO </t>
  </si>
  <si>
    <t>TRES LAGOAS</t>
  </si>
  <si>
    <t xml:space="preserve">VIDEIRA </t>
  </si>
  <si>
    <t xml:space="preserve">FRAIBURGO </t>
  </si>
  <si>
    <t xml:space="preserve">JOACABA </t>
  </si>
  <si>
    <t xml:space="preserve">SAO JOAO BATISTA </t>
  </si>
  <si>
    <t xml:space="preserve">PARANAVAI </t>
  </si>
  <si>
    <t xml:space="preserve">CIANORTE </t>
  </si>
  <si>
    <t xml:space="preserve">CACADOR </t>
  </si>
  <si>
    <t>ITARARE</t>
  </si>
  <si>
    <t xml:space="preserve">PRESIDENTE PRUDENTE </t>
  </si>
  <si>
    <t xml:space="preserve">JAU </t>
  </si>
  <si>
    <t xml:space="preserve">MARILIA </t>
  </si>
  <si>
    <t xml:space="preserve">OURINHOS </t>
  </si>
  <si>
    <t xml:space="preserve">DRACENA </t>
  </si>
  <si>
    <t>CIDADE DOS SINDICATOS COMÉRCIO</t>
  </si>
  <si>
    <t xml:space="preserve">FRANCISCO BELTRAO </t>
  </si>
  <si>
    <t xml:space="preserve">JARAGUA DO SUL </t>
  </si>
  <si>
    <t>SINDICATO DOS LOJISTAS DA REGIÃO DAS HORTENSIAS</t>
  </si>
  <si>
    <t xml:space="preserve">MEDIANEIRA </t>
  </si>
  <si>
    <t xml:space="preserve">PALMITAL </t>
  </si>
  <si>
    <t>MUNÍCIPIOS (lojas)</t>
  </si>
  <si>
    <t>Dias de atraso</t>
  </si>
  <si>
    <t>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</si>
</sst>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_(* #,##0.00_);_(* \(#,##0.00\);_(* &quot;-&quot;??_);_(@_)"/>
    <numFmt numFmtId="166" formatCode="0.0%"/>
  </numFmts>
  <fonts count="10" x14ac:knownFonts="1">
    <font>
      <sz val="11"/>
      <color theme="1"/>
      <name val="Calibri"/>
      <family val="2"/>
      <scheme val="minor"/>
    </font>
    <font>
      <b/>
      <sz val="11"/>
      <color theme="1"/>
      <name val="Calibri"/>
      <family val="2"/>
      <scheme val="minor"/>
    </font>
    <font>
      <b/>
      <sz val="11"/>
      <name val="Calibri"/>
      <family val="2"/>
      <scheme val="minor"/>
    </font>
    <font>
      <b/>
      <i/>
      <sz val="11"/>
      <color theme="1"/>
      <name val="Calibri"/>
      <family val="2"/>
      <scheme val="minor"/>
    </font>
    <font>
      <sz val="11"/>
      <name val="Calibri"/>
      <family val="2"/>
      <scheme val="minor"/>
    </font>
    <font>
      <sz val="11"/>
      <color theme="1"/>
      <name val="Calibri"/>
      <family val="2"/>
      <scheme val="minor"/>
    </font>
    <font>
      <sz val="8"/>
      <name val="Calibri"/>
      <family val="2"/>
      <scheme val="minor"/>
    </font>
    <font>
      <b/>
      <sz val="11"/>
      <color theme="0"/>
      <name val="Calibri"/>
      <family val="2"/>
      <scheme val="minor"/>
    </font>
    <font>
      <b/>
      <sz val="12"/>
      <color theme="0"/>
      <name val="Calibri"/>
      <family val="2"/>
      <scheme val="minor"/>
    </font>
    <font>
      <b/>
      <u/>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3"/>
        <bgColor indexed="64"/>
      </patternFill>
    </fill>
    <fill>
      <patternFill patternType="solid">
        <fgColor rgb="FFFF0000"/>
        <bgColor indexed="64"/>
      </patternFill>
    </fill>
  </fills>
  <borders count="4">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theme="4" tint="0.79998168889431442"/>
      </left>
      <right style="thin">
        <color theme="4" tint="0.79998168889431442"/>
      </right>
      <top/>
      <bottom/>
      <diagonal/>
    </border>
  </borders>
  <cellStyleXfs count="3">
    <xf numFmtId="0" fontId="0" fillId="0" borderId="0"/>
    <xf numFmtId="165" fontId="5" fillId="0" borderId="0" applyFont="0" applyFill="0" applyBorder="0" applyAlignment="0" applyProtection="0"/>
    <xf numFmtId="9" fontId="5" fillId="0" borderId="0" applyFont="0" applyFill="0" applyBorder="0" applyAlignment="0" applyProtection="0"/>
  </cellStyleXfs>
  <cellXfs count="56">
    <xf numFmtId="0" fontId="0" fillId="0" borderId="0" xfId="0"/>
    <xf numFmtId="0" fontId="1" fillId="2" borderId="0" xfId="0" applyFont="1" applyFill="1" applyAlignment="1">
      <alignment horizontal="center"/>
    </xf>
    <xf numFmtId="0" fontId="1" fillId="2" borderId="1" xfId="0" applyFont="1" applyFill="1" applyBorder="1" applyAlignment="1">
      <alignment horizontal="center"/>
    </xf>
    <xf numFmtId="0" fontId="1" fillId="0" borderId="2" xfId="0" applyFont="1" applyBorder="1" applyAlignment="1">
      <alignment horizontal="center"/>
    </xf>
    <xf numFmtId="0" fontId="0" fillId="0" borderId="2" xfId="0" applyBorder="1"/>
    <xf numFmtId="0" fontId="1" fillId="2" borderId="2" xfId="0" applyFont="1" applyFill="1" applyBorder="1" applyAlignment="1">
      <alignment horizontal="center"/>
    </xf>
    <xf numFmtId="0" fontId="1" fillId="0" borderId="2" xfId="0" applyFont="1" applyBorder="1" applyAlignment="1">
      <alignment horizontal="left"/>
    </xf>
    <xf numFmtId="0" fontId="0" fillId="0" borderId="2" xfId="0" applyBorder="1" applyAlignment="1">
      <alignment horizontal="left"/>
    </xf>
    <xf numFmtId="0" fontId="0" fillId="2" borderId="2" xfId="0" applyFill="1" applyBorder="1" applyAlignment="1">
      <alignment horizontal="left"/>
    </xf>
    <xf numFmtId="0" fontId="0" fillId="0" borderId="0" xfId="0" applyAlignment="1">
      <alignment horizontal="left"/>
    </xf>
    <xf numFmtId="0" fontId="0" fillId="2" borderId="1" xfId="0" applyFill="1" applyBorder="1" applyAlignment="1">
      <alignment horizontal="left"/>
    </xf>
    <xf numFmtId="0" fontId="0" fillId="2" borderId="2" xfId="0" applyFill="1" applyBorder="1"/>
    <xf numFmtId="0" fontId="2" fillId="2" borderId="2" xfId="0" applyFont="1" applyFill="1" applyBorder="1" applyAlignment="1">
      <alignment horizontal="center"/>
    </xf>
    <xf numFmtId="0" fontId="4" fillId="2" borderId="2" xfId="0" applyFont="1" applyFill="1" applyBorder="1"/>
    <xf numFmtId="0" fontId="3" fillId="0" borderId="2" xfId="0" applyFont="1" applyBorder="1" applyAlignment="1">
      <alignment horizontal="center"/>
    </xf>
    <xf numFmtId="0" fontId="2" fillId="0" borderId="2" xfId="0" applyFont="1" applyBorder="1" applyAlignment="1">
      <alignment horizontal="center"/>
    </xf>
    <xf numFmtId="0" fontId="4" fillId="0" borderId="2" xfId="0" applyFont="1" applyBorder="1"/>
    <xf numFmtId="0" fontId="1" fillId="0" borderId="2" xfId="0" quotePrefix="1" applyFont="1" applyBorder="1" applyAlignment="1">
      <alignment horizontal="center"/>
    </xf>
    <xf numFmtId="0" fontId="0" fillId="0" borderId="0" xfId="0" applyAlignment="1">
      <alignment vertical="center"/>
    </xf>
    <xf numFmtId="0" fontId="4" fillId="2" borderId="2" xfId="0" applyFont="1" applyFill="1" applyBorder="1" applyAlignment="1">
      <alignment vertical="center"/>
    </xf>
    <xf numFmtId="0" fontId="0" fillId="2" borderId="0" xfId="0" applyFill="1" applyAlignment="1">
      <alignment vertical="center"/>
    </xf>
    <xf numFmtId="0" fontId="0" fillId="0" borderId="0" xfId="0" applyAlignment="1">
      <alignment horizontal="center"/>
    </xf>
    <xf numFmtId="0" fontId="4" fillId="2" borderId="2" xfId="0" applyFont="1" applyFill="1" applyBorder="1" applyAlignment="1">
      <alignment horizontal="center"/>
    </xf>
    <xf numFmtId="0" fontId="1" fillId="2" borderId="0" xfId="0" applyFont="1" applyFill="1" applyAlignment="1">
      <alignment horizontal="left"/>
    </xf>
    <xf numFmtId="0" fontId="1" fillId="4" borderId="0" xfId="0" applyFont="1" applyFill="1" applyAlignment="1">
      <alignment horizontal="left"/>
    </xf>
    <xf numFmtId="0" fontId="1" fillId="4" borderId="0" xfId="0" applyFont="1" applyFill="1" applyAlignment="1">
      <alignment horizontal="center"/>
    </xf>
    <xf numFmtId="0" fontId="1" fillId="2" borderId="0" xfId="0" applyFont="1" applyFill="1"/>
    <xf numFmtId="0" fontId="1" fillId="3" borderId="0" xfId="0" applyFont="1" applyFill="1"/>
    <xf numFmtId="0" fontId="1" fillId="4" borderId="0" xfId="0" applyFont="1" applyFill="1"/>
    <xf numFmtId="164" fontId="1" fillId="4" borderId="0" xfId="0" applyNumberFormat="1" applyFont="1" applyFill="1" applyAlignment="1">
      <alignment horizontal="center"/>
    </xf>
    <xf numFmtId="0" fontId="1" fillId="2" borderId="2" xfId="0" applyFont="1" applyFill="1" applyBorder="1" applyAlignment="1">
      <alignment horizontal="left"/>
    </xf>
    <xf numFmtId="0" fontId="4" fillId="2" borderId="2" xfId="0" applyFont="1" applyFill="1" applyBorder="1" applyAlignment="1">
      <alignment horizontal="left"/>
    </xf>
    <xf numFmtId="166" fontId="0" fillId="2" borderId="2" xfId="2" applyNumberFormat="1" applyFont="1" applyFill="1" applyBorder="1"/>
    <xf numFmtId="166" fontId="4" fillId="2" borderId="2" xfId="2" applyNumberFormat="1" applyFont="1" applyFill="1" applyBorder="1"/>
    <xf numFmtId="166" fontId="0" fillId="0" borderId="2" xfId="2" applyNumberFormat="1" applyFont="1" applyBorder="1"/>
    <xf numFmtId="166" fontId="0" fillId="2" borderId="2" xfId="2" applyNumberFormat="1" applyFont="1" applyFill="1" applyBorder="1" applyAlignment="1">
      <alignment horizontal="right"/>
    </xf>
    <xf numFmtId="166" fontId="4" fillId="2" borderId="2" xfId="2" applyNumberFormat="1" applyFont="1" applyFill="1" applyBorder="1" applyAlignment="1">
      <alignment horizontal="right"/>
    </xf>
    <xf numFmtId="166" fontId="0" fillId="0" borderId="2" xfId="2" applyNumberFormat="1" applyFont="1" applyBorder="1" applyAlignment="1">
      <alignment horizontal="right"/>
    </xf>
    <xf numFmtId="9" fontId="1" fillId="2" borderId="0" xfId="2" applyFont="1" applyFill="1" applyAlignment="1">
      <alignment horizontal="center"/>
    </xf>
    <xf numFmtId="166" fontId="1" fillId="2" borderId="0" xfId="2" applyNumberFormat="1" applyFont="1" applyFill="1" applyAlignment="1">
      <alignment horizontal="center"/>
    </xf>
    <xf numFmtId="166" fontId="1" fillId="4" borderId="0" xfId="2" applyNumberFormat="1" applyFont="1" applyFill="1" applyAlignment="1">
      <alignment horizontal="center"/>
    </xf>
    <xf numFmtId="0" fontId="0" fillId="3" borderId="2" xfId="0" applyFill="1" applyBorder="1"/>
    <xf numFmtId="9" fontId="1" fillId="4" borderId="0" xfId="2" applyFont="1" applyFill="1" applyAlignment="1">
      <alignment horizontal="center"/>
    </xf>
    <xf numFmtId="9" fontId="1" fillId="4" borderId="0" xfId="2" applyFont="1" applyFill="1"/>
    <xf numFmtId="0" fontId="8" fillId="5" borderId="2" xfId="0" applyFont="1" applyFill="1" applyBorder="1" applyAlignment="1">
      <alignment horizontal="center"/>
    </xf>
    <xf numFmtId="0" fontId="8" fillId="5" borderId="0" xfId="0" applyFont="1" applyFill="1" applyAlignment="1">
      <alignment horizontal="center" vertical="center"/>
    </xf>
    <xf numFmtId="0" fontId="7" fillId="5" borderId="2" xfId="0" applyFont="1" applyFill="1" applyBorder="1" applyAlignment="1">
      <alignment horizontal="center"/>
    </xf>
    <xf numFmtId="0" fontId="7" fillId="5" borderId="3" xfId="0" applyFont="1" applyFill="1" applyBorder="1" applyAlignment="1">
      <alignment horizontal="center"/>
    </xf>
    <xf numFmtId="0" fontId="1" fillId="0" borderId="0" xfId="0" applyFont="1"/>
    <xf numFmtId="0" fontId="8" fillId="6" borderId="2" xfId="0" applyFont="1" applyFill="1" applyBorder="1" applyAlignment="1">
      <alignment horizontal="center"/>
    </xf>
    <xf numFmtId="0" fontId="7" fillId="6" borderId="3" xfId="0" applyFont="1" applyFill="1" applyBorder="1" applyAlignment="1">
      <alignment horizontal="center"/>
    </xf>
    <xf numFmtId="0" fontId="8" fillId="2" borderId="2" xfId="0" applyFont="1" applyFill="1" applyBorder="1" applyAlignment="1">
      <alignment horizontal="center"/>
    </xf>
    <xf numFmtId="0" fontId="9" fillId="2" borderId="2" xfId="0" applyFont="1" applyFill="1" applyBorder="1" applyAlignment="1">
      <alignment horizontal="center"/>
    </xf>
    <xf numFmtId="0" fontId="3" fillId="2" borderId="2" xfId="0" applyFont="1" applyFill="1" applyBorder="1" applyAlignment="1">
      <alignment horizontal="center"/>
    </xf>
    <xf numFmtId="14" fontId="0" fillId="2" borderId="2" xfId="0" applyNumberFormat="1" applyFill="1" applyBorder="1" applyAlignment="1">
      <alignment horizontal="center"/>
    </xf>
    <xf numFmtId="0" fontId="0" fillId="2" borderId="2" xfId="0" applyFill="1" applyBorder="1" applyAlignment="1">
      <alignment horizontal="center"/>
    </xf>
  </cellXfs>
  <cellStyles count="3">
    <cellStyle name="Normal" xfId="0" builtinId="0"/>
    <cellStyle name="Porcentagem" xfId="2" builtinId="5"/>
    <cellStyle name="Vírgula 2" xfId="1" xr:uid="{19D735F9-40B0-43EE-B137-962855222EC1}"/>
  </cellStyles>
  <dxfs count="0"/>
  <tableStyles count="0" defaultTableStyle="TableStyleMedium9" defaultPivotStyle="PivotStyleLight16"/>
  <colors>
    <mruColors>
      <color rgb="FFFC4A4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1</xdr:row>
          <xdr:rowOff>0</xdr:rowOff>
        </xdr:from>
        <xdr:to>
          <xdr:col>5</xdr:col>
          <xdr:colOff>3931920</xdr:colOff>
          <xdr:row>2</xdr:row>
          <xdr:rowOff>60960</xdr:rowOff>
        </xdr:to>
        <xdr:sp macro="" textlink="">
          <xdr:nvSpPr>
            <xdr:cNvPr id="1029" name="TempCombo"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5</xdr:col>
      <xdr:colOff>4023360</xdr:colOff>
      <xdr:row>0</xdr:row>
      <xdr:rowOff>114300</xdr:rowOff>
    </xdr:from>
    <xdr:to>
      <xdr:col>5</xdr:col>
      <xdr:colOff>4922520</xdr:colOff>
      <xdr:row>2</xdr:row>
      <xdr:rowOff>83820</xdr:rowOff>
    </xdr:to>
    <xdr:sp macro="[0]!TempComboBT.TempComboBT" textlink="">
      <xdr:nvSpPr>
        <xdr:cNvPr id="4" name="Retângulo: Cantos Arredondados 3">
          <a:extLst>
            <a:ext uri="{FF2B5EF4-FFF2-40B4-BE49-F238E27FC236}">
              <a16:creationId xmlns:a16="http://schemas.microsoft.com/office/drawing/2014/main" id="{CABE3B9E-FC8B-456E-B48D-1EB89F126CA0}"/>
            </a:ext>
          </a:extLst>
        </xdr:cNvPr>
        <xdr:cNvSpPr/>
      </xdr:nvSpPr>
      <xdr:spPr>
        <a:xfrm>
          <a:off x="9288780" y="114300"/>
          <a:ext cx="8991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kern="1200"/>
            <a:t>BUSCAR</a:t>
          </a:r>
          <a:endParaRPr lang="pt-BR" sz="1800" b="1" kern="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Remunera&#231;&#227;o%20e%20Benef&#237;cios\SINDICAIS\ACOMPANHAMENTO%20SINDICATOS-1_V2.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OMPANHAMENTO"/>
      <sheetName val="Dissídio_042025"/>
      <sheetName val="Dissídio_052025"/>
      <sheetName val="Dissídio_062025"/>
      <sheetName val="Cobrança CCTs Abril.2025"/>
      <sheetName val="Dissidio.mar2025"/>
      <sheetName val="Cobrança CCTS março.2025"/>
      <sheetName val="Dissidio.fev2025"/>
      <sheetName val="dissidios janeiro.25"/>
      <sheetName val="cobrança CCTS janeiro.25"/>
      <sheetName val="DISSIDIO DEZEMBRO.2024"/>
      <sheetName val="DISSIDIO OUTUBRO.2024"/>
      <sheetName val="DISSIDIOS NOVEMBRO.24"/>
      <sheetName val="atrasados 11.11"/>
      <sheetName val="Atrasados"/>
      <sheetName val="DISSIDIOS JULHO.2024"/>
      <sheetName val="DISSIDIOS AGOSTO.2024"/>
      <sheetName val="JUNHO-24"/>
      <sheetName val="DISSIDIOS SET.2024"/>
      <sheetName val="PISOS REGIONAIS"/>
      <sheetName val="MAIO-24"/>
      <sheetName val="ABRIL-24"/>
      <sheetName val="MARÇO-24"/>
      <sheetName val="FEVEREIRO"/>
      <sheetName val="JANEIRO"/>
      <sheetName val="DEZEMBRO"/>
      <sheetName val="NOVEMBRO"/>
      <sheetName val="Outubro23"/>
      <sheetName val="Setembro23"/>
      <sheetName val="agosto23"/>
      <sheetName val="julho23"/>
      <sheetName val="mala direta"/>
      <sheetName val="MalaDireta-1"/>
      <sheetName val="Planilha5"/>
      <sheetName val="Atrasados &gt;2anos"/>
    </sheetNames>
    <sheetDataSet>
      <sheetData sheetId="0">
        <row r="1">
          <cell r="A1" t="str">
            <v>Loja</v>
          </cell>
          <cell r="H1" t="str">
            <v>Data-Base</v>
          </cell>
        </row>
        <row r="2">
          <cell r="A2">
            <v>1</v>
          </cell>
          <cell r="H2">
            <v>45809</v>
          </cell>
        </row>
        <row r="3">
          <cell r="A3">
            <v>2</v>
          </cell>
          <cell r="H3">
            <v>45931</v>
          </cell>
        </row>
        <row r="4">
          <cell r="A4">
            <v>3</v>
          </cell>
          <cell r="H4">
            <v>45809</v>
          </cell>
        </row>
        <row r="5">
          <cell r="A5">
            <v>4</v>
          </cell>
          <cell r="H5">
            <v>45689</v>
          </cell>
        </row>
        <row r="6">
          <cell r="A6">
            <v>5</v>
          </cell>
          <cell r="H6">
            <v>45809</v>
          </cell>
        </row>
        <row r="7">
          <cell r="A7">
            <v>7</v>
          </cell>
          <cell r="H7">
            <v>46082</v>
          </cell>
        </row>
        <row r="8">
          <cell r="A8">
            <v>8</v>
          </cell>
          <cell r="H8">
            <v>45809</v>
          </cell>
        </row>
        <row r="9">
          <cell r="A9">
            <v>9</v>
          </cell>
          <cell r="H9">
            <v>45809</v>
          </cell>
        </row>
        <row r="10">
          <cell r="A10">
            <v>10</v>
          </cell>
          <cell r="H10">
            <v>45689</v>
          </cell>
        </row>
        <row r="11">
          <cell r="A11">
            <v>11</v>
          </cell>
          <cell r="H11">
            <v>45689</v>
          </cell>
        </row>
        <row r="12">
          <cell r="A12">
            <v>12</v>
          </cell>
          <cell r="H12">
            <v>45717</v>
          </cell>
        </row>
        <row r="13">
          <cell r="A13">
            <v>13</v>
          </cell>
          <cell r="H13">
            <v>45717</v>
          </cell>
        </row>
        <row r="14">
          <cell r="A14">
            <v>14</v>
          </cell>
          <cell r="H14">
            <v>45809</v>
          </cell>
        </row>
        <row r="15">
          <cell r="A15">
            <v>15</v>
          </cell>
          <cell r="H15">
            <v>45778</v>
          </cell>
        </row>
        <row r="16">
          <cell r="A16">
            <v>16</v>
          </cell>
          <cell r="H16">
            <v>45717</v>
          </cell>
        </row>
        <row r="17">
          <cell r="A17">
            <v>17</v>
          </cell>
          <cell r="H17">
            <v>45778</v>
          </cell>
        </row>
        <row r="18">
          <cell r="A18">
            <v>18</v>
          </cell>
          <cell r="H18">
            <v>45413</v>
          </cell>
        </row>
        <row r="19">
          <cell r="A19">
            <v>19</v>
          </cell>
          <cell r="H19">
            <v>45717</v>
          </cell>
        </row>
        <row r="20">
          <cell r="A20">
            <v>20</v>
          </cell>
          <cell r="H20">
            <v>45717</v>
          </cell>
        </row>
        <row r="21">
          <cell r="A21">
            <v>21</v>
          </cell>
          <cell r="H21">
            <v>45809</v>
          </cell>
        </row>
        <row r="22">
          <cell r="A22">
            <v>22</v>
          </cell>
          <cell r="H22">
            <v>46082</v>
          </cell>
        </row>
        <row r="23">
          <cell r="A23">
            <v>23</v>
          </cell>
          <cell r="H23">
            <v>45778</v>
          </cell>
        </row>
        <row r="24">
          <cell r="A24">
            <v>24</v>
          </cell>
          <cell r="H24">
            <v>45689</v>
          </cell>
        </row>
        <row r="25">
          <cell r="A25">
            <v>25</v>
          </cell>
          <cell r="H25">
            <v>45717</v>
          </cell>
        </row>
        <row r="26">
          <cell r="A26">
            <v>26</v>
          </cell>
          <cell r="H26">
            <v>45717</v>
          </cell>
        </row>
        <row r="27">
          <cell r="A27">
            <v>27</v>
          </cell>
          <cell r="H27">
            <v>45778</v>
          </cell>
        </row>
        <row r="28">
          <cell r="A28">
            <v>29</v>
          </cell>
          <cell r="H28">
            <v>45689</v>
          </cell>
        </row>
        <row r="29">
          <cell r="A29">
            <v>30</v>
          </cell>
          <cell r="H29">
            <v>45870</v>
          </cell>
        </row>
        <row r="30">
          <cell r="A30">
            <v>31</v>
          </cell>
          <cell r="H30">
            <v>45047</v>
          </cell>
        </row>
        <row r="31">
          <cell r="A31">
            <v>34</v>
          </cell>
          <cell r="H31">
            <v>45809</v>
          </cell>
        </row>
        <row r="32">
          <cell r="A32">
            <v>35</v>
          </cell>
          <cell r="H32">
            <v>45413</v>
          </cell>
        </row>
        <row r="33">
          <cell r="A33">
            <v>36</v>
          </cell>
          <cell r="H33">
            <v>45717</v>
          </cell>
        </row>
        <row r="34">
          <cell r="A34">
            <v>37</v>
          </cell>
          <cell r="H34">
            <v>45717</v>
          </cell>
        </row>
        <row r="35">
          <cell r="A35">
            <v>38</v>
          </cell>
          <cell r="H35">
            <v>44986</v>
          </cell>
        </row>
        <row r="36">
          <cell r="A36">
            <v>39</v>
          </cell>
          <cell r="H36">
            <v>45717</v>
          </cell>
        </row>
        <row r="37">
          <cell r="A37">
            <v>40</v>
          </cell>
          <cell r="H37">
            <v>45962</v>
          </cell>
        </row>
        <row r="38">
          <cell r="A38">
            <v>41</v>
          </cell>
          <cell r="H38">
            <v>45717</v>
          </cell>
        </row>
        <row r="39">
          <cell r="A39">
            <v>43</v>
          </cell>
          <cell r="H39">
            <v>45962</v>
          </cell>
        </row>
        <row r="40">
          <cell r="A40">
            <v>44</v>
          </cell>
          <cell r="H40">
            <v>45931</v>
          </cell>
        </row>
        <row r="41">
          <cell r="A41">
            <v>45</v>
          </cell>
          <cell r="H41">
            <v>45962</v>
          </cell>
        </row>
        <row r="42">
          <cell r="A42">
            <v>46</v>
          </cell>
          <cell r="H42">
            <v>45689</v>
          </cell>
        </row>
        <row r="43">
          <cell r="A43">
            <v>47</v>
          </cell>
          <cell r="H43">
            <v>45962</v>
          </cell>
        </row>
        <row r="44">
          <cell r="A44">
            <v>48</v>
          </cell>
          <cell r="H44">
            <v>45901</v>
          </cell>
        </row>
        <row r="45">
          <cell r="A45">
            <v>49</v>
          </cell>
          <cell r="H45">
            <v>46082</v>
          </cell>
        </row>
        <row r="46">
          <cell r="A46">
            <v>50</v>
          </cell>
          <cell r="H46">
            <v>45383</v>
          </cell>
        </row>
        <row r="47">
          <cell r="A47">
            <v>51</v>
          </cell>
          <cell r="H47">
            <v>45352</v>
          </cell>
        </row>
        <row r="48">
          <cell r="A48">
            <v>52</v>
          </cell>
          <cell r="H48">
            <v>45778</v>
          </cell>
        </row>
        <row r="49">
          <cell r="A49">
            <v>53</v>
          </cell>
          <cell r="H49">
            <v>45809</v>
          </cell>
        </row>
        <row r="50">
          <cell r="A50">
            <v>55</v>
          </cell>
          <cell r="H50">
            <v>45717</v>
          </cell>
        </row>
        <row r="51">
          <cell r="A51">
            <v>56</v>
          </cell>
          <cell r="H51">
            <v>45931</v>
          </cell>
        </row>
        <row r="52">
          <cell r="A52">
            <v>58</v>
          </cell>
          <cell r="H52">
            <v>45717</v>
          </cell>
        </row>
        <row r="53">
          <cell r="A53">
            <v>59</v>
          </cell>
          <cell r="H53">
            <v>45748</v>
          </cell>
        </row>
        <row r="54">
          <cell r="A54">
            <v>60</v>
          </cell>
          <cell r="H54">
            <v>45717</v>
          </cell>
        </row>
        <row r="55">
          <cell r="A55">
            <v>61</v>
          </cell>
          <cell r="H55">
            <v>46082</v>
          </cell>
        </row>
        <row r="56">
          <cell r="A56">
            <v>62</v>
          </cell>
          <cell r="H56">
            <v>45717</v>
          </cell>
        </row>
        <row r="57">
          <cell r="A57">
            <v>64</v>
          </cell>
          <cell r="H57">
            <v>45748</v>
          </cell>
        </row>
        <row r="58">
          <cell r="A58">
            <v>65</v>
          </cell>
          <cell r="H58">
            <v>46082</v>
          </cell>
        </row>
        <row r="59">
          <cell r="A59">
            <v>66</v>
          </cell>
          <cell r="H59">
            <v>45717</v>
          </cell>
        </row>
        <row r="60">
          <cell r="A60">
            <v>68</v>
          </cell>
          <cell r="H60">
            <v>45809</v>
          </cell>
        </row>
        <row r="61">
          <cell r="A61">
            <v>69</v>
          </cell>
          <cell r="H61">
            <v>45809</v>
          </cell>
        </row>
        <row r="62">
          <cell r="A62">
            <v>71</v>
          </cell>
          <cell r="H62">
            <v>45778</v>
          </cell>
        </row>
        <row r="63">
          <cell r="A63">
            <v>72</v>
          </cell>
          <cell r="H63">
            <v>45870</v>
          </cell>
        </row>
        <row r="64">
          <cell r="A64">
            <v>73</v>
          </cell>
          <cell r="H64">
            <v>45748</v>
          </cell>
        </row>
        <row r="65">
          <cell r="A65">
            <v>75</v>
          </cell>
          <cell r="H65">
            <v>45717</v>
          </cell>
        </row>
        <row r="66">
          <cell r="A66">
            <v>76</v>
          </cell>
          <cell r="H66">
            <v>45717</v>
          </cell>
        </row>
        <row r="67">
          <cell r="A67">
            <v>78</v>
          </cell>
          <cell r="H67">
            <v>45717</v>
          </cell>
        </row>
        <row r="68">
          <cell r="A68">
            <v>80</v>
          </cell>
          <cell r="H68">
            <v>45717</v>
          </cell>
        </row>
        <row r="69">
          <cell r="A69">
            <v>81</v>
          </cell>
          <cell r="H69">
            <v>46082</v>
          </cell>
        </row>
        <row r="70">
          <cell r="A70">
            <v>82</v>
          </cell>
          <cell r="H70">
            <v>45931</v>
          </cell>
        </row>
        <row r="71">
          <cell r="A71">
            <v>83</v>
          </cell>
          <cell r="H71">
            <v>45748</v>
          </cell>
        </row>
        <row r="72">
          <cell r="A72">
            <v>84</v>
          </cell>
          <cell r="H72">
            <v>45931</v>
          </cell>
        </row>
        <row r="73">
          <cell r="A73">
            <v>85</v>
          </cell>
          <cell r="H73">
            <v>45323</v>
          </cell>
        </row>
        <row r="74">
          <cell r="A74">
            <v>86</v>
          </cell>
          <cell r="H74">
            <v>45809</v>
          </cell>
        </row>
        <row r="75">
          <cell r="A75">
            <v>88</v>
          </cell>
          <cell r="H75">
            <v>45901</v>
          </cell>
        </row>
        <row r="76">
          <cell r="A76">
            <v>89</v>
          </cell>
          <cell r="H76">
            <v>45717</v>
          </cell>
        </row>
        <row r="77">
          <cell r="A77">
            <v>90</v>
          </cell>
          <cell r="H77">
            <v>45717</v>
          </cell>
        </row>
        <row r="78">
          <cell r="A78">
            <v>92</v>
          </cell>
          <cell r="H78">
            <v>45962</v>
          </cell>
        </row>
        <row r="79">
          <cell r="A79">
            <v>93</v>
          </cell>
          <cell r="H79">
            <v>46235</v>
          </cell>
        </row>
        <row r="80">
          <cell r="A80">
            <v>94</v>
          </cell>
          <cell r="H80">
            <v>45778</v>
          </cell>
        </row>
        <row r="81">
          <cell r="A81">
            <v>95</v>
          </cell>
          <cell r="H81">
            <v>45717</v>
          </cell>
        </row>
        <row r="82">
          <cell r="A82">
            <v>97</v>
          </cell>
          <cell r="H82">
            <v>45352</v>
          </cell>
        </row>
        <row r="83">
          <cell r="A83">
            <v>98</v>
          </cell>
          <cell r="H83">
            <v>46204</v>
          </cell>
        </row>
        <row r="84">
          <cell r="A84">
            <v>99</v>
          </cell>
          <cell r="H84">
            <v>46082</v>
          </cell>
        </row>
        <row r="85">
          <cell r="A85">
            <v>101</v>
          </cell>
          <cell r="H85">
            <v>45717</v>
          </cell>
        </row>
        <row r="86">
          <cell r="A86">
            <v>102</v>
          </cell>
          <cell r="H86">
            <v>45717</v>
          </cell>
        </row>
        <row r="87">
          <cell r="A87">
            <v>103</v>
          </cell>
          <cell r="H87">
            <v>45809</v>
          </cell>
        </row>
        <row r="88">
          <cell r="A88">
            <v>104</v>
          </cell>
          <cell r="H88">
            <v>45748</v>
          </cell>
        </row>
        <row r="89">
          <cell r="A89">
            <v>105</v>
          </cell>
          <cell r="H89">
            <v>45931</v>
          </cell>
        </row>
        <row r="90">
          <cell r="A90">
            <v>106</v>
          </cell>
          <cell r="H90">
            <v>45717</v>
          </cell>
        </row>
        <row r="91">
          <cell r="A91">
            <v>107</v>
          </cell>
          <cell r="H91">
            <v>45717</v>
          </cell>
        </row>
        <row r="92">
          <cell r="A92">
            <v>108</v>
          </cell>
          <cell r="H92">
            <v>45717</v>
          </cell>
        </row>
        <row r="93">
          <cell r="A93">
            <v>109</v>
          </cell>
          <cell r="H93">
            <v>45962</v>
          </cell>
        </row>
        <row r="94">
          <cell r="A94">
            <v>110</v>
          </cell>
          <cell r="H94">
            <v>45962</v>
          </cell>
        </row>
        <row r="95">
          <cell r="A95">
            <v>111</v>
          </cell>
          <cell r="H95">
            <v>45809</v>
          </cell>
        </row>
        <row r="96">
          <cell r="A96">
            <v>112</v>
          </cell>
          <cell r="H96">
            <v>45931</v>
          </cell>
        </row>
        <row r="97">
          <cell r="A97">
            <v>113</v>
          </cell>
          <cell r="H97">
            <v>45809</v>
          </cell>
        </row>
        <row r="98">
          <cell r="A98">
            <v>114</v>
          </cell>
          <cell r="H98">
            <v>45901</v>
          </cell>
        </row>
        <row r="99">
          <cell r="A99">
            <v>115</v>
          </cell>
          <cell r="H99">
            <v>45717</v>
          </cell>
        </row>
        <row r="100">
          <cell r="A100">
            <v>117</v>
          </cell>
          <cell r="H100">
            <v>46113</v>
          </cell>
        </row>
        <row r="101">
          <cell r="A101">
            <v>118</v>
          </cell>
          <cell r="H101">
            <v>46113</v>
          </cell>
        </row>
        <row r="102">
          <cell r="A102">
            <v>120</v>
          </cell>
          <cell r="H102">
            <v>45352</v>
          </cell>
        </row>
        <row r="103">
          <cell r="A103">
            <v>121</v>
          </cell>
          <cell r="H103">
            <v>45809</v>
          </cell>
        </row>
        <row r="104">
          <cell r="A104">
            <v>122</v>
          </cell>
          <cell r="H104">
            <v>45748</v>
          </cell>
        </row>
        <row r="105">
          <cell r="A105">
            <v>123</v>
          </cell>
          <cell r="H105">
            <v>45778</v>
          </cell>
        </row>
        <row r="106">
          <cell r="A106">
            <v>124</v>
          </cell>
          <cell r="H106">
            <v>45809</v>
          </cell>
        </row>
        <row r="107">
          <cell r="A107">
            <v>126</v>
          </cell>
          <cell r="H107">
            <v>45717</v>
          </cell>
        </row>
        <row r="108">
          <cell r="A108">
            <v>127</v>
          </cell>
          <cell r="H108">
            <v>45717</v>
          </cell>
        </row>
        <row r="109">
          <cell r="A109">
            <v>128</v>
          </cell>
          <cell r="H109">
            <v>45778</v>
          </cell>
        </row>
        <row r="110">
          <cell r="A110">
            <v>129</v>
          </cell>
          <cell r="H110">
            <v>45809</v>
          </cell>
        </row>
        <row r="111">
          <cell r="A111">
            <v>130</v>
          </cell>
          <cell r="H111">
            <v>45778</v>
          </cell>
        </row>
        <row r="112">
          <cell r="A112">
            <v>131</v>
          </cell>
          <cell r="H112">
            <v>46082</v>
          </cell>
        </row>
        <row r="113">
          <cell r="A113">
            <v>132</v>
          </cell>
          <cell r="H113">
            <v>46082</v>
          </cell>
        </row>
        <row r="114">
          <cell r="A114">
            <v>133</v>
          </cell>
          <cell r="H114">
            <v>45717</v>
          </cell>
        </row>
        <row r="115">
          <cell r="A115">
            <v>134</v>
          </cell>
          <cell r="H115">
            <v>45809</v>
          </cell>
        </row>
        <row r="116">
          <cell r="A116">
            <v>135</v>
          </cell>
          <cell r="H116">
            <v>45809</v>
          </cell>
        </row>
        <row r="117">
          <cell r="A117">
            <v>136</v>
          </cell>
          <cell r="H117">
            <v>45809</v>
          </cell>
        </row>
        <row r="118">
          <cell r="A118">
            <v>137</v>
          </cell>
          <cell r="H118">
            <v>45962</v>
          </cell>
        </row>
        <row r="119">
          <cell r="A119">
            <v>138</v>
          </cell>
          <cell r="H119">
            <v>46082</v>
          </cell>
        </row>
        <row r="120">
          <cell r="A120">
            <v>139</v>
          </cell>
          <cell r="H120">
            <v>45717</v>
          </cell>
        </row>
        <row r="121">
          <cell r="A121">
            <v>140</v>
          </cell>
          <cell r="H121">
            <v>45717</v>
          </cell>
        </row>
        <row r="122">
          <cell r="A122">
            <v>141</v>
          </cell>
          <cell r="H122">
            <v>45778</v>
          </cell>
        </row>
        <row r="123">
          <cell r="A123">
            <v>142</v>
          </cell>
          <cell r="H123">
            <v>45717</v>
          </cell>
        </row>
        <row r="124">
          <cell r="A124">
            <v>143</v>
          </cell>
          <cell r="H124">
            <v>45962</v>
          </cell>
        </row>
        <row r="125">
          <cell r="A125">
            <v>144</v>
          </cell>
          <cell r="H125">
            <v>45717</v>
          </cell>
        </row>
        <row r="126">
          <cell r="A126">
            <v>145</v>
          </cell>
          <cell r="H126">
            <v>45717</v>
          </cell>
        </row>
        <row r="127">
          <cell r="A127">
            <v>146</v>
          </cell>
          <cell r="H127">
            <v>45717</v>
          </cell>
        </row>
        <row r="128">
          <cell r="A128">
            <v>147</v>
          </cell>
          <cell r="H128">
            <v>42795</v>
          </cell>
        </row>
        <row r="129">
          <cell r="A129">
            <v>148</v>
          </cell>
          <cell r="H129">
            <v>41699</v>
          </cell>
        </row>
        <row r="130">
          <cell r="A130">
            <v>149</v>
          </cell>
          <cell r="H130">
            <v>45352</v>
          </cell>
        </row>
        <row r="131">
          <cell r="A131">
            <v>151</v>
          </cell>
          <cell r="H131">
            <v>45717</v>
          </cell>
        </row>
        <row r="132">
          <cell r="A132">
            <v>152</v>
          </cell>
          <cell r="H132">
            <v>46082</v>
          </cell>
        </row>
        <row r="133">
          <cell r="A133">
            <v>153</v>
          </cell>
          <cell r="H133">
            <v>45778</v>
          </cell>
        </row>
        <row r="134">
          <cell r="A134">
            <v>154</v>
          </cell>
          <cell r="H134">
            <v>45962</v>
          </cell>
        </row>
        <row r="135">
          <cell r="A135">
            <v>155</v>
          </cell>
          <cell r="H135">
            <v>45717</v>
          </cell>
        </row>
        <row r="136">
          <cell r="A136">
            <v>156</v>
          </cell>
          <cell r="H136">
            <v>46082</v>
          </cell>
        </row>
        <row r="137">
          <cell r="A137">
            <v>159</v>
          </cell>
          <cell r="H137">
            <v>46082</v>
          </cell>
        </row>
        <row r="138">
          <cell r="A138">
            <v>160</v>
          </cell>
          <cell r="H138">
            <v>46082</v>
          </cell>
        </row>
        <row r="139">
          <cell r="A139">
            <v>161</v>
          </cell>
          <cell r="H139">
            <v>45717</v>
          </cell>
        </row>
        <row r="140">
          <cell r="A140">
            <v>166</v>
          </cell>
          <cell r="H140">
            <v>45717</v>
          </cell>
        </row>
        <row r="141">
          <cell r="A141">
            <v>167</v>
          </cell>
          <cell r="H141">
            <v>46204</v>
          </cell>
        </row>
        <row r="142">
          <cell r="A142">
            <v>169</v>
          </cell>
          <cell r="H142">
            <v>45809</v>
          </cell>
        </row>
        <row r="143">
          <cell r="A143">
            <v>170</v>
          </cell>
          <cell r="H143">
            <v>45809</v>
          </cell>
        </row>
        <row r="144">
          <cell r="A144">
            <v>171</v>
          </cell>
          <cell r="H144">
            <v>46082</v>
          </cell>
        </row>
        <row r="145">
          <cell r="A145">
            <v>172</v>
          </cell>
          <cell r="H145">
            <v>46082</v>
          </cell>
        </row>
        <row r="146">
          <cell r="A146">
            <v>173</v>
          </cell>
          <cell r="H146">
            <v>45809</v>
          </cell>
        </row>
        <row r="147">
          <cell r="A147">
            <v>174</v>
          </cell>
          <cell r="H147">
            <v>46082</v>
          </cell>
        </row>
        <row r="148">
          <cell r="A148">
            <v>175</v>
          </cell>
          <cell r="H148">
            <v>45931</v>
          </cell>
        </row>
        <row r="149">
          <cell r="A149">
            <v>176</v>
          </cell>
          <cell r="H149">
            <v>45809</v>
          </cell>
        </row>
        <row r="150">
          <cell r="A150">
            <v>177</v>
          </cell>
          <cell r="H150">
            <v>45962</v>
          </cell>
        </row>
        <row r="151">
          <cell r="A151">
            <v>178</v>
          </cell>
          <cell r="H151">
            <v>45717</v>
          </cell>
        </row>
        <row r="152">
          <cell r="A152">
            <v>179</v>
          </cell>
          <cell r="H152">
            <v>45717</v>
          </cell>
        </row>
        <row r="153">
          <cell r="A153">
            <v>180</v>
          </cell>
          <cell r="H153">
            <v>45809</v>
          </cell>
        </row>
        <row r="154">
          <cell r="A154">
            <v>181</v>
          </cell>
          <cell r="H154">
            <v>45962</v>
          </cell>
        </row>
        <row r="155">
          <cell r="A155">
            <v>182</v>
          </cell>
          <cell r="H155">
            <v>45901</v>
          </cell>
        </row>
        <row r="156">
          <cell r="A156">
            <v>183</v>
          </cell>
          <cell r="H156">
            <v>46204</v>
          </cell>
        </row>
        <row r="157">
          <cell r="A157">
            <v>184</v>
          </cell>
          <cell r="H157">
            <v>45778</v>
          </cell>
        </row>
        <row r="158">
          <cell r="A158">
            <v>185</v>
          </cell>
          <cell r="H158">
            <v>45809</v>
          </cell>
        </row>
        <row r="159">
          <cell r="A159">
            <v>186</v>
          </cell>
          <cell r="H159">
            <v>45689</v>
          </cell>
        </row>
        <row r="160">
          <cell r="A160">
            <v>187</v>
          </cell>
          <cell r="H160">
            <v>46113</v>
          </cell>
        </row>
        <row r="161">
          <cell r="A161">
            <v>188</v>
          </cell>
          <cell r="H161">
            <v>45717</v>
          </cell>
        </row>
        <row r="162">
          <cell r="A162">
            <v>189</v>
          </cell>
          <cell r="H162">
            <v>45717</v>
          </cell>
        </row>
        <row r="163">
          <cell r="A163">
            <v>190</v>
          </cell>
          <cell r="H163">
            <v>46235</v>
          </cell>
        </row>
        <row r="164">
          <cell r="A164">
            <v>191</v>
          </cell>
          <cell r="H164">
            <v>45505</v>
          </cell>
        </row>
        <row r="165">
          <cell r="A165">
            <v>192</v>
          </cell>
          <cell r="H165">
            <v>45809</v>
          </cell>
        </row>
        <row r="166">
          <cell r="A166">
            <v>193</v>
          </cell>
          <cell r="H166">
            <v>46204</v>
          </cell>
        </row>
        <row r="167">
          <cell r="A167">
            <v>194</v>
          </cell>
          <cell r="H167">
            <v>45717</v>
          </cell>
        </row>
        <row r="168">
          <cell r="A168">
            <v>195</v>
          </cell>
          <cell r="H168">
            <v>46235</v>
          </cell>
        </row>
        <row r="169">
          <cell r="A169">
            <v>196</v>
          </cell>
          <cell r="H169">
            <v>45809</v>
          </cell>
        </row>
        <row r="170">
          <cell r="A170">
            <v>197</v>
          </cell>
          <cell r="H170">
            <v>45809</v>
          </cell>
        </row>
        <row r="171">
          <cell r="A171">
            <v>198</v>
          </cell>
          <cell r="H171">
            <v>46204</v>
          </cell>
        </row>
        <row r="172">
          <cell r="A172">
            <v>199</v>
          </cell>
          <cell r="H172">
            <v>45748</v>
          </cell>
        </row>
        <row r="173">
          <cell r="A173">
            <v>201</v>
          </cell>
          <cell r="H173">
            <v>45931</v>
          </cell>
        </row>
        <row r="174">
          <cell r="A174">
            <v>202</v>
          </cell>
          <cell r="H174">
            <v>45717</v>
          </cell>
        </row>
        <row r="175">
          <cell r="A175">
            <v>203</v>
          </cell>
          <cell r="H175">
            <v>45962</v>
          </cell>
        </row>
        <row r="176">
          <cell r="A176">
            <v>204</v>
          </cell>
          <cell r="H176">
            <v>46204</v>
          </cell>
        </row>
        <row r="177">
          <cell r="A177">
            <v>205</v>
          </cell>
          <cell r="H177">
            <v>45962</v>
          </cell>
        </row>
        <row r="178">
          <cell r="A178">
            <v>206</v>
          </cell>
          <cell r="H178">
            <v>46204</v>
          </cell>
        </row>
        <row r="179">
          <cell r="A179">
            <v>207</v>
          </cell>
          <cell r="H179">
            <v>45778</v>
          </cell>
        </row>
        <row r="180">
          <cell r="A180">
            <v>208</v>
          </cell>
          <cell r="H180">
            <v>45901</v>
          </cell>
        </row>
        <row r="181">
          <cell r="A181">
            <v>209</v>
          </cell>
          <cell r="H181">
            <v>45717</v>
          </cell>
        </row>
        <row r="182">
          <cell r="A182">
            <v>213</v>
          </cell>
          <cell r="H182">
            <v>45717</v>
          </cell>
        </row>
        <row r="183">
          <cell r="A183">
            <v>215</v>
          </cell>
          <cell r="H183">
            <v>45323</v>
          </cell>
        </row>
        <row r="184">
          <cell r="A184">
            <v>216</v>
          </cell>
          <cell r="H184">
            <v>45717</v>
          </cell>
        </row>
        <row r="185">
          <cell r="A185">
            <v>217</v>
          </cell>
          <cell r="H185">
            <v>45717</v>
          </cell>
        </row>
        <row r="186">
          <cell r="A186">
            <v>218</v>
          </cell>
          <cell r="H186">
            <v>46204</v>
          </cell>
        </row>
        <row r="187">
          <cell r="A187">
            <v>219</v>
          </cell>
          <cell r="H187">
            <v>45323</v>
          </cell>
        </row>
        <row r="188">
          <cell r="A188">
            <v>220</v>
          </cell>
          <cell r="H188">
            <v>45962</v>
          </cell>
        </row>
        <row r="189">
          <cell r="A189">
            <v>221</v>
          </cell>
          <cell r="H189">
            <v>45717</v>
          </cell>
        </row>
        <row r="190">
          <cell r="A190">
            <v>222</v>
          </cell>
          <cell r="H190">
            <v>45962</v>
          </cell>
        </row>
        <row r="191">
          <cell r="A191">
            <v>223</v>
          </cell>
          <cell r="H191">
            <v>45717</v>
          </cell>
        </row>
        <row r="192">
          <cell r="A192">
            <v>224</v>
          </cell>
          <cell r="H192">
            <v>45748</v>
          </cell>
        </row>
        <row r="193">
          <cell r="A193">
            <v>225</v>
          </cell>
          <cell r="H193">
            <v>45901</v>
          </cell>
        </row>
        <row r="194">
          <cell r="A194">
            <v>226</v>
          </cell>
          <cell r="H194">
            <v>45748</v>
          </cell>
        </row>
        <row r="195">
          <cell r="A195">
            <v>227</v>
          </cell>
          <cell r="H195">
            <v>45901</v>
          </cell>
        </row>
        <row r="196">
          <cell r="A196">
            <v>229</v>
          </cell>
          <cell r="H196">
            <v>45962</v>
          </cell>
        </row>
        <row r="197">
          <cell r="A197">
            <v>231</v>
          </cell>
          <cell r="H197">
            <v>46082</v>
          </cell>
        </row>
        <row r="198">
          <cell r="A198">
            <v>232</v>
          </cell>
          <cell r="H198">
            <v>45809</v>
          </cell>
        </row>
        <row r="199">
          <cell r="A199">
            <v>233</v>
          </cell>
          <cell r="H199">
            <v>45809</v>
          </cell>
        </row>
        <row r="200">
          <cell r="A200">
            <v>234</v>
          </cell>
          <cell r="H200">
            <v>46023</v>
          </cell>
        </row>
        <row r="201">
          <cell r="A201">
            <v>235</v>
          </cell>
          <cell r="H201">
            <v>45870</v>
          </cell>
        </row>
        <row r="202">
          <cell r="A202">
            <v>236</v>
          </cell>
          <cell r="H202">
            <v>46023</v>
          </cell>
        </row>
        <row r="203">
          <cell r="A203">
            <v>238</v>
          </cell>
          <cell r="H203">
            <v>45809</v>
          </cell>
        </row>
        <row r="204">
          <cell r="A204">
            <v>239</v>
          </cell>
          <cell r="H204">
            <v>45809</v>
          </cell>
        </row>
        <row r="205">
          <cell r="A205">
            <v>240</v>
          </cell>
          <cell r="H205">
            <v>45809</v>
          </cell>
        </row>
        <row r="206">
          <cell r="A206">
            <v>241</v>
          </cell>
          <cell r="H206">
            <v>45413</v>
          </cell>
        </row>
        <row r="207">
          <cell r="A207">
            <v>244</v>
          </cell>
          <cell r="H207">
            <v>46143</v>
          </cell>
        </row>
        <row r="208">
          <cell r="A208">
            <v>245</v>
          </cell>
          <cell r="H208">
            <v>45809</v>
          </cell>
        </row>
        <row r="209">
          <cell r="A209">
            <v>246</v>
          </cell>
          <cell r="H209">
            <v>45839</v>
          </cell>
        </row>
        <row r="210">
          <cell r="A210">
            <v>247</v>
          </cell>
          <cell r="H210">
            <v>45809</v>
          </cell>
        </row>
        <row r="211">
          <cell r="A211">
            <v>248</v>
          </cell>
          <cell r="H211">
            <v>45809</v>
          </cell>
        </row>
        <row r="212">
          <cell r="A212">
            <v>249</v>
          </cell>
          <cell r="H212">
            <v>45778</v>
          </cell>
        </row>
        <row r="213">
          <cell r="A213">
            <v>250</v>
          </cell>
          <cell r="H213">
            <v>46143</v>
          </cell>
        </row>
        <row r="214">
          <cell r="A214">
            <v>252</v>
          </cell>
          <cell r="H214">
            <v>46143</v>
          </cell>
        </row>
        <row r="215">
          <cell r="A215">
            <v>253</v>
          </cell>
          <cell r="H215">
            <v>45839</v>
          </cell>
        </row>
        <row r="216">
          <cell r="A216">
            <v>255</v>
          </cell>
          <cell r="H216">
            <v>46113</v>
          </cell>
        </row>
        <row r="217">
          <cell r="A217">
            <v>256</v>
          </cell>
          <cell r="H217">
            <v>45809</v>
          </cell>
        </row>
        <row r="218">
          <cell r="A218">
            <v>257</v>
          </cell>
          <cell r="H218">
            <v>45809</v>
          </cell>
        </row>
        <row r="219">
          <cell r="A219">
            <v>258</v>
          </cell>
          <cell r="H219">
            <v>45962</v>
          </cell>
        </row>
        <row r="220">
          <cell r="A220">
            <v>259</v>
          </cell>
          <cell r="H220">
            <v>45717</v>
          </cell>
        </row>
        <row r="221">
          <cell r="A221">
            <v>260</v>
          </cell>
          <cell r="H221">
            <v>45717</v>
          </cell>
        </row>
        <row r="222">
          <cell r="A222">
            <v>261</v>
          </cell>
          <cell r="H222">
            <v>45383</v>
          </cell>
        </row>
        <row r="223">
          <cell r="A223">
            <v>262</v>
          </cell>
          <cell r="H223">
            <v>45962</v>
          </cell>
        </row>
        <row r="224">
          <cell r="A224">
            <v>263</v>
          </cell>
          <cell r="H224">
            <v>45962</v>
          </cell>
        </row>
        <row r="225">
          <cell r="A225">
            <v>264</v>
          </cell>
          <cell r="H225">
            <v>45962</v>
          </cell>
        </row>
        <row r="226">
          <cell r="A226">
            <v>265</v>
          </cell>
          <cell r="H226">
            <v>45505</v>
          </cell>
        </row>
        <row r="227">
          <cell r="A227">
            <v>266</v>
          </cell>
          <cell r="H227">
            <v>45962</v>
          </cell>
        </row>
        <row r="228">
          <cell r="A228">
            <v>267</v>
          </cell>
          <cell r="H228">
            <v>46113</v>
          </cell>
        </row>
        <row r="229">
          <cell r="A229">
            <v>268</v>
          </cell>
          <cell r="H229">
            <v>46143</v>
          </cell>
        </row>
        <row r="230">
          <cell r="A230">
            <v>269</v>
          </cell>
          <cell r="H230">
            <v>45778</v>
          </cell>
        </row>
        <row r="231">
          <cell r="A231">
            <v>270</v>
          </cell>
          <cell r="H231">
            <v>45352</v>
          </cell>
        </row>
        <row r="232">
          <cell r="A232">
            <v>271</v>
          </cell>
          <cell r="H232">
            <v>45931</v>
          </cell>
        </row>
        <row r="233">
          <cell r="A233">
            <v>272</v>
          </cell>
          <cell r="H233">
            <v>45748</v>
          </cell>
        </row>
        <row r="234">
          <cell r="A234">
            <v>273</v>
          </cell>
          <cell r="H234">
            <v>45870</v>
          </cell>
        </row>
        <row r="235">
          <cell r="A235">
            <v>274</v>
          </cell>
          <cell r="H235">
            <v>45809</v>
          </cell>
        </row>
        <row r="236">
          <cell r="A236">
            <v>275</v>
          </cell>
          <cell r="H236">
            <v>45778</v>
          </cell>
        </row>
        <row r="237">
          <cell r="A237">
            <v>276</v>
          </cell>
          <cell r="H237">
            <v>45778</v>
          </cell>
        </row>
        <row r="238">
          <cell r="A238">
            <v>277</v>
          </cell>
          <cell r="H238">
            <v>46082</v>
          </cell>
        </row>
        <row r="239">
          <cell r="A239">
            <v>278</v>
          </cell>
          <cell r="H239">
            <v>45717</v>
          </cell>
        </row>
        <row r="240">
          <cell r="A240">
            <v>280</v>
          </cell>
          <cell r="H240">
            <v>45717</v>
          </cell>
        </row>
        <row r="241">
          <cell r="A241">
            <v>281</v>
          </cell>
          <cell r="H241">
            <v>45901</v>
          </cell>
        </row>
        <row r="242">
          <cell r="A242">
            <v>282</v>
          </cell>
          <cell r="H242">
            <v>45870</v>
          </cell>
        </row>
        <row r="243">
          <cell r="A243">
            <v>283</v>
          </cell>
          <cell r="H243">
            <v>45870</v>
          </cell>
        </row>
        <row r="244">
          <cell r="A244">
            <v>284</v>
          </cell>
          <cell r="H244">
            <v>46204</v>
          </cell>
        </row>
        <row r="245">
          <cell r="A245">
            <v>285</v>
          </cell>
          <cell r="H245">
            <v>45717</v>
          </cell>
        </row>
        <row r="246">
          <cell r="A246">
            <v>286</v>
          </cell>
          <cell r="H246">
            <v>45778</v>
          </cell>
        </row>
        <row r="247">
          <cell r="A247">
            <v>287</v>
          </cell>
          <cell r="H247">
            <v>45352</v>
          </cell>
        </row>
        <row r="248">
          <cell r="A248">
            <v>288</v>
          </cell>
          <cell r="H248">
            <v>45809</v>
          </cell>
        </row>
        <row r="249">
          <cell r="A249">
            <v>289</v>
          </cell>
          <cell r="H249">
            <v>46204</v>
          </cell>
        </row>
        <row r="250">
          <cell r="A250">
            <v>290</v>
          </cell>
          <cell r="H250">
            <v>46143</v>
          </cell>
        </row>
        <row r="251">
          <cell r="A251">
            <v>291</v>
          </cell>
          <cell r="H251">
            <v>45901</v>
          </cell>
        </row>
        <row r="252">
          <cell r="A252">
            <v>292</v>
          </cell>
          <cell r="H252">
            <v>45717</v>
          </cell>
        </row>
        <row r="253">
          <cell r="A253">
            <v>293</v>
          </cell>
          <cell r="H253">
            <v>45778</v>
          </cell>
        </row>
        <row r="254">
          <cell r="A254">
            <v>294</v>
          </cell>
          <cell r="H254">
            <v>45778</v>
          </cell>
        </row>
        <row r="255">
          <cell r="A255">
            <v>295</v>
          </cell>
          <cell r="H255">
            <v>45962</v>
          </cell>
        </row>
        <row r="256">
          <cell r="A256">
            <v>296</v>
          </cell>
          <cell r="H256">
            <v>45748</v>
          </cell>
        </row>
        <row r="257">
          <cell r="A257">
            <v>297</v>
          </cell>
          <cell r="H257">
            <v>45809</v>
          </cell>
        </row>
        <row r="258">
          <cell r="A258">
            <v>298</v>
          </cell>
          <cell r="H258">
            <v>45717</v>
          </cell>
        </row>
        <row r="259">
          <cell r="A259">
            <v>299</v>
          </cell>
          <cell r="H259">
            <v>45962</v>
          </cell>
        </row>
        <row r="260">
          <cell r="A260">
            <v>300</v>
          </cell>
          <cell r="H260">
            <v>46235</v>
          </cell>
        </row>
        <row r="261">
          <cell r="A261">
            <v>301</v>
          </cell>
          <cell r="H261">
            <v>46113</v>
          </cell>
        </row>
        <row r="262">
          <cell r="A262">
            <v>302</v>
          </cell>
          <cell r="H262">
            <v>45717</v>
          </cell>
        </row>
        <row r="263">
          <cell r="A263">
            <v>303</v>
          </cell>
          <cell r="H263">
            <v>45748</v>
          </cell>
        </row>
        <row r="264">
          <cell r="A264">
            <v>304</v>
          </cell>
          <cell r="H264">
            <v>45748</v>
          </cell>
        </row>
        <row r="265">
          <cell r="A265">
            <v>305</v>
          </cell>
          <cell r="H265">
            <v>45778</v>
          </cell>
        </row>
        <row r="266">
          <cell r="A266">
            <v>306</v>
          </cell>
          <cell r="H266">
            <v>44986</v>
          </cell>
        </row>
        <row r="267">
          <cell r="A267">
            <v>307</v>
          </cell>
          <cell r="H267">
            <v>46113</v>
          </cell>
        </row>
        <row r="268">
          <cell r="A268">
            <v>308</v>
          </cell>
          <cell r="H268">
            <v>45717</v>
          </cell>
        </row>
        <row r="269">
          <cell r="A269">
            <v>309</v>
          </cell>
          <cell r="H269">
            <v>45962</v>
          </cell>
        </row>
        <row r="270">
          <cell r="A270">
            <v>310</v>
          </cell>
          <cell r="H270">
            <v>46082</v>
          </cell>
        </row>
        <row r="271">
          <cell r="A271">
            <v>311</v>
          </cell>
          <cell r="H271">
            <v>45717</v>
          </cell>
        </row>
        <row r="272">
          <cell r="A272">
            <v>312</v>
          </cell>
          <cell r="H272">
            <v>45809</v>
          </cell>
        </row>
        <row r="273">
          <cell r="A273">
            <v>313</v>
          </cell>
          <cell r="H273">
            <v>42795</v>
          </cell>
        </row>
        <row r="274">
          <cell r="A274">
            <v>314</v>
          </cell>
          <cell r="H274">
            <v>45717</v>
          </cell>
        </row>
        <row r="275">
          <cell r="A275">
            <v>315</v>
          </cell>
          <cell r="H275">
            <v>45717</v>
          </cell>
        </row>
        <row r="276">
          <cell r="A276">
            <v>316</v>
          </cell>
          <cell r="H276">
            <v>45689</v>
          </cell>
        </row>
        <row r="277">
          <cell r="A277">
            <v>317</v>
          </cell>
          <cell r="H277">
            <v>45962</v>
          </cell>
        </row>
        <row r="278">
          <cell r="A278">
            <v>318</v>
          </cell>
          <cell r="H278">
            <v>45778</v>
          </cell>
        </row>
        <row r="279">
          <cell r="A279">
            <v>319</v>
          </cell>
          <cell r="H279">
            <v>46204</v>
          </cell>
        </row>
        <row r="280">
          <cell r="A280">
            <v>320</v>
          </cell>
          <cell r="H280">
            <v>45748</v>
          </cell>
        </row>
        <row r="281">
          <cell r="A281">
            <v>321</v>
          </cell>
          <cell r="H281">
            <v>45717</v>
          </cell>
        </row>
        <row r="282">
          <cell r="A282">
            <v>322</v>
          </cell>
          <cell r="H282">
            <v>45717</v>
          </cell>
        </row>
        <row r="283">
          <cell r="A283">
            <v>323</v>
          </cell>
          <cell r="H283">
            <v>45717</v>
          </cell>
        </row>
        <row r="284">
          <cell r="A284">
            <v>324</v>
          </cell>
          <cell r="H284">
            <v>45689</v>
          </cell>
        </row>
        <row r="285">
          <cell r="A285">
            <v>325</v>
          </cell>
          <cell r="H285">
            <v>45748</v>
          </cell>
        </row>
        <row r="286">
          <cell r="A286">
            <v>326</v>
          </cell>
          <cell r="H286">
            <v>45809</v>
          </cell>
        </row>
        <row r="287">
          <cell r="A287">
            <v>327</v>
          </cell>
          <cell r="H287">
            <v>45809</v>
          </cell>
        </row>
        <row r="288">
          <cell r="A288">
            <v>328</v>
          </cell>
          <cell r="H288">
            <v>45809</v>
          </cell>
        </row>
        <row r="289">
          <cell r="A289">
            <v>329</v>
          </cell>
          <cell r="H289">
            <v>45809</v>
          </cell>
        </row>
        <row r="290">
          <cell r="A290">
            <v>330</v>
          </cell>
          <cell r="H290">
            <v>45809</v>
          </cell>
        </row>
        <row r="291">
          <cell r="A291">
            <v>331</v>
          </cell>
          <cell r="H291">
            <v>45717</v>
          </cell>
        </row>
        <row r="292">
          <cell r="A292">
            <v>332</v>
          </cell>
          <cell r="H292">
            <v>46113</v>
          </cell>
        </row>
        <row r="293">
          <cell r="A293">
            <v>333</v>
          </cell>
          <cell r="H293">
            <v>45717</v>
          </cell>
        </row>
        <row r="294">
          <cell r="A294">
            <v>334</v>
          </cell>
          <cell r="H294">
            <v>45809</v>
          </cell>
        </row>
        <row r="295">
          <cell r="A295">
            <v>335</v>
          </cell>
          <cell r="H295">
            <v>45962</v>
          </cell>
        </row>
        <row r="296">
          <cell r="A296">
            <v>336</v>
          </cell>
          <cell r="H296">
            <v>45748</v>
          </cell>
        </row>
        <row r="297">
          <cell r="A297">
            <v>337</v>
          </cell>
          <cell r="H297">
            <v>45778</v>
          </cell>
        </row>
        <row r="298">
          <cell r="A298">
            <v>338</v>
          </cell>
          <cell r="H298">
            <v>45809</v>
          </cell>
        </row>
        <row r="299">
          <cell r="A299">
            <v>339</v>
          </cell>
          <cell r="H299">
            <v>45901</v>
          </cell>
        </row>
        <row r="300">
          <cell r="A300">
            <v>340</v>
          </cell>
          <cell r="H300">
            <v>45717</v>
          </cell>
        </row>
        <row r="301">
          <cell r="A301">
            <v>341</v>
          </cell>
          <cell r="H301">
            <v>45323</v>
          </cell>
        </row>
        <row r="302">
          <cell r="A302">
            <v>342</v>
          </cell>
          <cell r="H302">
            <v>45809</v>
          </cell>
        </row>
        <row r="303">
          <cell r="A303">
            <v>343</v>
          </cell>
          <cell r="H303">
            <v>46204</v>
          </cell>
        </row>
        <row r="304">
          <cell r="A304">
            <v>344</v>
          </cell>
          <cell r="H304">
            <v>45717</v>
          </cell>
        </row>
        <row r="305">
          <cell r="A305">
            <v>345</v>
          </cell>
          <cell r="H305">
            <v>45809</v>
          </cell>
        </row>
        <row r="306">
          <cell r="A306">
            <v>346</v>
          </cell>
          <cell r="H306">
            <v>45778</v>
          </cell>
        </row>
        <row r="307">
          <cell r="A307">
            <v>347</v>
          </cell>
          <cell r="H307">
            <v>46082</v>
          </cell>
        </row>
        <row r="308">
          <cell r="A308">
            <v>348</v>
          </cell>
          <cell r="H308">
            <v>45717</v>
          </cell>
        </row>
        <row r="309">
          <cell r="A309">
            <v>349</v>
          </cell>
          <cell r="H309">
            <v>45352</v>
          </cell>
        </row>
        <row r="310">
          <cell r="A310">
            <v>350</v>
          </cell>
          <cell r="H310">
            <v>45809</v>
          </cell>
        </row>
        <row r="311">
          <cell r="A311">
            <v>351</v>
          </cell>
          <cell r="H311">
            <v>45778</v>
          </cell>
        </row>
        <row r="312">
          <cell r="A312">
            <v>352</v>
          </cell>
          <cell r="H312">
            <v>45962</v>
          </cell>
        </row>
        <row r="313">
          <cell r="A313">
            <v>353</v>
          </cell>
          <cell r="H313">
            <v>45809</v>
          </cell>
        </row>
        <row r="314">
          <cell r="A314">
            <v>354</v>
          </cell>
          <cell r="H314">
            <v>45809</v>
          </cell>
        </row>
        <row r="315">
          <cell r="A315">
            <v>355</v>
          </cell>
          <cell r="H315">
            <v>46082</v>
          </cell>
        </row>
        <row r="316">
          <cell r="A316">
            <v>356</v>
          </cell>
          <cell r="H316">
            <v>45809</v>
          </cell>
        </row>
        <row r="317">
          <cell r="A317">
            <v>357</v>
          </cell>
          <cell r="H317">
            <v>45809</v>
          </cell>
        </row>
        <row r="318">
          <cell r="A318">
            <v>358</v>
          </cell>
          <cell r="H318">
            <v>45717</v>
          </cell>
        </row>
        <row r="319">
          <cell r="A319">
            <v>359</v>
          </cell>
          <cell r="H319">
            <v>46143</v>
          </cell>
        </row>
        <row r="320">
          <cell r="A320">
            <v>360</v>
          </cell>
          <cell r="H320">
            <v>45962</v>
          </cell>
        </row>
        <row r="321">
          <cell r="A321">
            <v>361</v>
          </cell>
          <cell r="H321">
            <v>45323</v>
          </cell>
        </row>
        <row r="322">
          <cell r="A322">
            <v>362</v>
          </cell>
          <cell r="H322">
            <v>45809</v>
          </cell>
        </row>
        <row r="323">
          <cell r="A323">
            <v>363</v>
          </cell>
          <cell r="H323">
            <v>45778</v>
          </cell>
        </row>
        <row r="324">
          <cell r="A324">
            <v>364</v>
          </cell>
          <cell r="H324">
            <v>45717</v>
          </cell>
        </row>
        <row r="325">
          <cell r="A325">
            <v>365</v>
          </cell>
          <cell r="H325">
            <v>45778</v>
          </cell>
        </row>
        <row r="326">
          <cell r="A326">
            <v>366</v>
          </cell>
          <cell r="H326">
            <v>45689</v>
          </cell>
        </row>
        <row r="327">
          <cell r="A327">
            <v>367</v>
          </cell>
          <cell r="H327">
            <v>45809</v>
          </cell>
        </row>
        <row r="328">
          <cell r="A328">
            <v>368</v>
          </cell>
          <cell r="H328">
            <v>45809</v>
          </cell>
        </row>
        <row r="329">
          <cell r="A329">
            <v>369</v>
          </cell>
          <cell r="H329">
            <v>45778</v>
          </cell>
        </row>
        <row r="330">
          <cell r="A330">
            <v>370</v>
          </cell>
          <cell r="H330">
            <v>45809</v>
          </cell>
        </row>
        <row r="331">
          <cell r="A331">
            <v>371</v>
          </cell>
          <cell r="H331">
            <v>45717</v>
          </cell>
        </row>
        <row r="332">
          <cell r="A332">
            <v>372</v>
          </cell>
          <cell r="H332">
            <v>45809</v>
          </cell>
        </row>
        <row r="333">
          <cell r="A333">
            <v>373</v>
          </cell>
          <cell r="H333">
            <v>45809</v>
          </cell>
        </row>
        <row r="334">
          <cell r="A334">
            <v>374</v>
          </cell>
          <cell r="H334">
            <v>45809</v>
          </cell>
        </row>
        <row r="335">
          <cell r="A335">
            <v>375</v>
          </cell>
          <cell r="H335">
            <v>42795</v>
          </cell>
        </row>
        <row r="336">
          <cell r="A336">
            <v>376</v>
          </cell>
          <cell r="H336">
            <v>45962</v>
          </cell>
        </row>
        <row r="337">
          <cell r="A337">
            <v>377</v>
          </cell>
          <cell r="H337">
            <v>45870</v>
          </cell>
        </row>
        <row r="338">
          <cell r="A338">
            <v>378</v>
          </cell>
          <cell r="H338">
            <v>45778</v>
          </cell>
        </row>
        <row r="339">
          <cell r="A339">
            <v>379</v>
          </cell>
          <cell r="H339">
            <v>45717</v>
          </cell>
        </row>
        <row r="340">
          <cell r="A340">
            <v>380</v>
          </cell>
          <cell r="H340">
            <v>45870</v>
          </cell>
        </row>
        <row r="341">
          <cell r="A341">
            <v>381</v>
          </cell>
          <cell r="H341">
            <v>45809</v>
          </cell>
        </row>
        <row r="342">
          <cell r="A342">
            <v>382</v>
          </cell>
          <cell r="H342">
            <v>46204</v>
          </cell>
        </row>
        <row r="343">
          <cell r="A343">
            <v>383</v>
          </cell>
          <cell r="H343">
            <v>45962</v>
          </cell>
        </row>
        <row r="344">
          <cell r="A344">
            <v>384</v>
          </cell>
          <cell r="H344">
            <v>45870</v>
          </cell>
        </row>
        <row r="345">
          <cell r="A345">
            <v>385</v>
          </cell>
          <cell r="H345">
            <v>45689</v>
          </cell>
        </row>
        <row r="346">
          <cell r="A346">
            <v>386</v>
          </cell>
          <cell r="H346">
            <v>45809</v>
          </cell>
        </row>
        <row r="347">
          <cell r="A347">
            <v>387</v>
          </cell>
          <cell r="H347">
            <v>45962</v>
          </cell>
        </row>
        <row r="348">
          <cell r="A348">
            <v>388</v>
          </cell>
          <cell r="H348">
            <v>45931</v>
          </cell>
        </row>
        <row r="349">
          <cell r="A349">
            <v>389</v>
          </cell>
          <cell r="H349">
            <v>45717</v>
          </cell>
        </row>
        <row r="350">
          <cell r="A350">
            <v>390</v>
          </cell>
          <cell r="H350">
            <v>45778</v>
          </cell>
        </row>
        <row r="351">
          <cell r="A351">
            <v>391</v>
          </cell>
          <cell r="H351">
            <v>45809</v>
          </cell>
        </row>
        <row r="352">
          <cell r="A352">
            <v>392</v>
          </cell>
          <cell r="H352">
            <v>45809</v>
          </cell>
        </row>
        <row r="353">
          <cell r="A353">
            <v>393</v>
          </cell>
          <cell r="H353">
            <v>45901</v>
          </cell>
        </row>
        <row r="354">
          <cell r="A354">
            <v>394</v>
          </cell>
          <cell r="H354">
            <v>45809</v>
          </cell>
        </row>
        <row r="355">
          <cell r="A355">
            <v>395</v>
          </cell>
          <cell r="H355">
            <v>45139</v>
          </cell>
        </row>
        <row r="356">
          <cell r="A356">
            <v>396</v>
          </cell>
          <cell r="H356">
            <v>45809</v>
          </cell>
        </row>
        <row r="357">
          <cell r="A357">
            <v>397</v>
          </cell>
          <cell r="H357">
            <v>45778</v>
          </cell>
        </row>
        <row r="358">
          <cell r="A358">
            <v>398</v>
          </cell>
          <cell r="H358">
            <v>45778</v>
          </cell>
        </row>
        <row r="359">
          <cell r="A359">
            <v>399</v>
          </cell>
          <cell r="H359">
            <v>45870</v>
          </cell>
        </row>
        <row r="360">
          <cell r="A360">
            <v>400</v>
          </cell>
          <cell r="H360">
            <v>45870</v>
          </cell>
        </row>
        <row r="361">
          <cell r="A361">
            <v>401</v>
          </cell>
          <cell r="H361">
            <v>45962</v>
          </cell>
        </row>
        <row r="362">
          <cell r="A362">
            <v>402</v>
          </cell>
          <cell r="H362">
            <v>45962</v>
          </cell>
        </row>
        <row r="363">
          <cell r="A363">
            <v>403</v>
          </cell>
          <cell r="H363">
            <v>45809</v>
          </cell>
        </row>
        <row r="364">
          <cell r="A364">
            <v>404</v>
          </cell>
          <cell r="H364">
            <v>46204</v>
          </cell>
        </row>
        <row r="365">
          <cell r="A365">
            <v>405</v>
          </cell>
          <cell r="H365">
            <v>45717</v>
          </cell>
        </row>
        <row r="366">
          <cell r="A366">
            <v>406</v>
          </cell>
          <cell r="H366">
            <v>45870</v>
          </cell>
        </row>
        <row r="367">
          <cell r="A367">
            <v>407</v>
          </cell>
          <cell r="H367">
            <v>45809</v>
          </cell>
        </row>
        <row r="368">
          <cell r="A368">
            <v>408</v>
          </cell>
          <cell r="H368">
            <v>45717</v>
          </cell>
        </row>
        <row r="369">
          <cell r="A369">
            <v>409</v>
          </cell>
          <cell r="H369">
            <v>45717</v>
          </cell>
        </row>
        <row r="370">
          <cell r="A370">
            <v>410</v>
          </cell>
          <cell r="H370">
            <v>45870</v>
          </cell>
        </row>
        <row r="371">
          <cell r="A371">
            <v>411</v>
          </cell>
          <cell r="H371">
            <v>45778</v>
          </cell>
        </row>
        <row r="372">
          <cell r="A372">
            <v>412</v>
          </cell>
          <cell r="H372">
            <v>41699</v>
          </cell>
        </row>
        <row r="373">
          <cell r="A373">
            <v>413</v>
          </cell>
          <cell r="H373">
            <v>46082</v>
          </cell>
        </row>
        <row r="374">
          <cell r="A374">
            <v>414</v>
          </cell>
          <cell r="H374">
            <v>45809</v>
          </cell>
        </row>
        <row r="375">
          <cell r="A375">
            <v>415</v>
          </cell>
          <cell r="H375">
            <v>45809</v>
          </cell>
        </row>
        <row r="376">
          <cell r="A376">
            <v>416</v>
          </cell>
          <cell r="H376">
            <v>45809</v>
          </cell>
        </row>
        <row r="377">
          <cell r="A377">
            <v>417</v>
          </cell>
          <cell r="H377">
            <v>46174</v>
          </cell>
        </row>
        <row r="378">
          <cell r="A378">
            <v>418</v>
          </cell>
          <cell r="H378">
            <v>45717</v>
          </cell>
        </row>
        <row r="379">
          <cell r="A379">
            <v>419</v>
          </cell>
          <cell r="H379">
            <v>45870</v>
          </cell>
        </row>
        <row r="380">
          <cell r="A380">
            <v>420</v>
          </cell>
          <cell r="H380">
            <v>45962</v>
          </cell>
        </row>
        <row r="381">
          <cell r="A381">
            <v>421</v>
          </cell>
          <cell r="H381">
            <v>45778</v>
          </cell>
        </row>
        <row r="382">
          <cell r="A382">
            <v>422</v>
          </cell>
          <cell r="H382">
            <v>45962</v>
          </cell>
        </row>
        <row r="383">
          <cell r="A383">
            <v>423</v>
          </cell>
          <cell r="H383">
            <v>46082</v>
          </cell>
        </row>
        <row r="384">
          <cell r="A384">
            <v>424</v>
          </cell>
          <cell r="H384">
            <v>45505</v>
          </cell>
        </row>
        <row r="385">
          <cell r="A385">
            <v>425</v>
          </cell>
          <cell r="H385">
            <v>45809</v>
          </cell>
        </row>
        <row r="386">
          <cell r="A386">
            <v>426</v>
          </cell>
          <cell r="H386">
            <v>45809</v>
          </cell>
        </row>
        <row r="387">
          <cell r="A387">
            <v>427</v>
          </cell>
          <cell r="H387">
            <v>45809</v>
          </cell>
        </row>
        <row r="388">
          <cell r="A388">
            <v>428</v>
          </cell>
          <cell r="H388">
            <v>45809</v>
          </cell>
        </row>
        <row r="389">
          <cell r="A389">
            <v>429</v>
          </cell>
          <cell r="H389">
            <v>45809</v>
          </cell>
        </row>
        <row r="390">
          <cell r="A390">
            <v>430</v>
          </cell>
          <cell r="H390">
            <v>45809</v>
          </cell>
        </row>
        <row r="391">
          <cell r="A391">
            <v>431</v>
          </cell>
          <cell r="H391">
            <v>45809</v>
          </cell>
        </row>
        <row r="392">
          <cell r="A392">
            <v>432</v>
          </cell>
          <cell r="H392">
            <v>45962</v>
          </cell>
        </row>
        <row r="393">
          <cell r="A393">
            <v>433</v>
          </cell>
          <cell r="H393">
            <v>45809</v>
          </cell>
        </row>
        <row r="394">
          <cell r="A394">
            <v>434</v>
          </cell>
          <cell r="H394">
            <v>45809</v>
          </cell>
        </row>
        <row r="395">
          <cell r="A395">
            <v>435</v>
          </cell>
          <cell r="H395">
            <v>45352</v>
          </cell>
        </row>
        <row r="396">
          <cell r="A396">
            <v>436</v>
          </cell>
          <cell r="H396">
            <v>45748</v>
          </cell>
        </row>
        <row r="397">
          <cell r="A397">
            <v>437</v>
          </cell>
          <cell r="H397">
            <v>45809</v>
          </cell>
        </row>
        <row r="398">
          <cell r="A398">
            <v>438</v>
          </cell>
          <cell r="H398">
            <v>45809</v>
          </cell>
        </row>
        <row r="399">
          <cell r="A399">
            <v>439</v>
          </cell>
          <cell r="H399">
            <v>45809</v>
          </cell>
        </row>
        <row r="400">
          <cell r="A400">
            <v>440</v>
          </cell>
          <cell r="H400">
            <v>45809</v>
          </cell>
        </row>
        <row r="401">
          <cell r="A401">
            <v>441</v>
          </cell>
          <cell r="H401">
            <v>45809</v>
          </cell>
        </row>
        <row r="402">
          <cell r="A402">
            <v>442</v>
          </cell>
          <cell r="H402">
            <v>45931</v>
          </cell>
        </row>
        <row r="403">
          <cell r="A403">
            <v>443</v>
          </cell>
          <cell r="H403">
            <v>45809</v>
          </cell>
        </row>
        <row r="404">
          <cell r="A404">
            <v>444</v>
          </cell>
          <cell r="H404">
            <v>45778</v>
          </cell>
        </row>
        <row r="405">
          <cell r="A405">
            <v>445</v>
          </cell>
          <cell r="H405">
            <v>46082</v>
          </cell>
        </row>
        <row r="406">
          <cell r="A406">
            <v>446</v>
          </cell>
          <cell r="H406">
            <v>45809</v>
          </cell>
        </row>
        <row r="407">
          <cell r="A407">
            <v>447</v>
          </cell>
          <cell r="H407">
            <v>45809</v>
          </cell>
        </row>
        <row r="408">
          <cell r="A408">
            <v>448</v>
          </cell>
          <cell r="H408">
            <v>45962</v>
          </cell>
        </row>
        <row r="409">
          <cell r="A409">
            <v>449</v>
          </cell>
          <cell r="H409">
            <v>45717</v>
          </cell>
        </row>
        <row r="410">
          <cell r="A410">
            <v>450</v>
          </cell>
          <cell r="H410">
            <v>45717</v>
          </cell>
        </row>
        <row r="411">
          <cell r="A411">
            <v>451</v>
          </cell>
          <cell r="H411">
            <v>45901</v>
          </cell>
        </row>
        <row r="412">
          <cell r="A412">
            <v>452</v>
          </cell>
          <cell r="H412">
            <v>45778</v>
          </cell>
        </row>
        <row r="413">
          <cell r="A413">
            <v>453</v>
          </cell>
          <cell r="H413">
            <v>45809</v>
          </cell>
        </row>
        <row r="414">
          <cell r="A414">
            <v>454</v>
          </cell>
          <cell r="H414">
            <v>46113</v>
          </cell>
        </row>
        <row r="415">
          <cell r="A415">
            <v>455</v>
          </cell>
          <cell r="H415">
            <v>45778</v>
          </cell>
        </row>
        <row r="416">
          <cell r="A416">
            <v>456</v>
          </cell>
          <cell r="H416">
            <v>45901</v>
          </cell>
        </row>
        <row r="417">
          <cell r="A417">
            <v>457</v>
          </cell>
          <cell r="H417">
            <v>45778</v>
          </cell>
        </row>
        <row r="418">
          <cell r="A418">
            <v>458</v>
          </cell>
          <cell r="H418">
            <v>45809</v>
          </cell>
        </row>
        <row r="419">
          <cell r="A419">
            <v>459</v>
          </cell>
          <cell r="H419">
            <v>45809</v>
          </cell>
        </row>
        <row r="420">
          <cell r="A420">
            <v>460</v>
          </cell>
          <cell r="H420">
            <v>45962</v>
          </cell>
        </row>
        <row r="421">
          <cell r="A421">
            <v>461</v>
          </cell>
          <cell r="H421">
            <v>45809</v>
          </cell>
        </row>
        <row r="422">
          <cell r="A422">
            <v>462</v>
          </cell>
          <cell r="H422">
            <v>45778</v>
          </cell>
        </row>
        <row r="423">
          <cell r="A423">
            <v>463</v>
          </cell>
          <cell r="H423">
            <v>45809</v>
          </cell>
        </row>
        <row r="424">
          <cell r="A424">
            <v>464</v>
          </cell>
          <cell r="H424">
            <v>45778</v>
          </cell>
        </row>
        <row r="425">
          <cell r="A425">
            <v>465</v>
          </cell>
          <cell r="H425">
            <v>45809</v>
          </cell>
        </row>
        <row r="426">
          <cell r="A426">
            <v>466</v>
          </cell>
          <cell r="H426">
            <v>45778</v>
          </cell>
        </row>
        <row r="427">
          <cell r="A427">
            <v>467</v>
          </cell>
          <cell r="H427">
            <v>45962</v>
          </cell>
        </row>
        <row r="428">
          <cell r="A428">
            <v>468</v>
          </cell>
          <cell r="H428">
            <v>45809</v>
          </cell>
        </row>
        <row r="429">
          <cell r="A429">
            <v>469</v>
          </cell>
          <cell r="H429">
            <v>45962</v>
          </cell>
        </row>
        <row r="430">
          <cell r="A430">
            <v>470</v>
          </cell>
          <cell r="H430">
            <v>45809</v>
          </cell>
        </row>
        <row r="431">
          <cell r="A431">
            <v>471</v>
          </cell>
          <cell r="H431">
            <v>45778</v>
          </cell>
        </row>
        <row r="432">
          <cell r="A432">
            <v>472</v>
          </cell>
          <cell r="H432">
            <v>45717</v>
          </cell>
        </row>
        <row r="433">
          <cell r="A433">
            <v>473</v>
          </cell>
          <cell r="H433">
            <v>45839</v>
          </cell>
        </row>
        <row r="434">
          <cell r="A434">
            <v>474</v>
          </cell>
          <cell r="H434">
            <v>45778</v>
          </cell>
        </row>
        <row r="435">
          <cell r="A435">
            <v>475</v>
          </cell>
          <cell r="H435">
            <v>45809</v>
          </cell>
        </row>
        <row r="436">
          <cell r="A436">
            <v>476</v>
          </cell>
          <cell r="H436">
            <v>45809</v>
          </cell>
        </row>
        <row r="437">
          <cell r="A437">
            <v>477</v>
          </cell>
          <cell r="H437">
            <v>45809</v>
          </cell>
        </row>
        <row r="438">
          <cell r="A438">
            <v>478</v>
          </cell>
          <cell r="H438">
            <v>45809</v>
          </cell>
        </row>
        <row r="439">
          <cell r="A439">
            <v>479</v>
          </cell>
          <cell r="H439">
            <v>45778</v>
          </cell>
        </row>
        <row r="440">
          <cell r="A440">
            <v>480</v>
          </cell>
          <cell r="H440">
            <v>45809</v>
          </cell>
        </row>
        <row r="441">
          <cell r="A441">
            <v>481</v>
          </cell>
          <cell r="H441">
            <v>45717</v>
          </cell>
        </row>
        <row r="442">
          <cell r="A442">
            <v>482</v>
          </cell>
          <cell r="H442">
            <v>45778</v>
          </cell>
        </row>
        <row r="443">
          <cell r="A443">
            <v>483</v>
          </cell>
          <cell r="H443">
            <v>45870</v>
          </cell>
        </row>
        <row r="444">
          <cell r="A444">
            <v>484</v>
          </cell>
          <cell r="H444">
            <v>45809</v>
          </cell>
        </row>
        <row r="445">
          <cell r="A445">
            <v>485</v>
          </cell>
          <cell r="H445">
            <v>45809</v>
          </cell>
        </row>
        <row r="446">
          <cell r="A446">
            <v>486</v>
          </cell>
          <cell r="H446">
            <v>45962</v>
          </cell>
        </row>
        <row r="447">
          <cell r="A447">
            <v>487</v>
          </cell>
          <cell r="H447">
            <v>45809</v>
          </cell>
        </row>
        <row r="448">
          <cell r="A448">
            <v>488</v>
          </cell>
          <cell r="H448">
            <v>45809</v>
          </cell>
        </row>
        <row r="449">
          <cell r="A449">
            <v>489</v>
          </cell>
          <cell r="H449">
            <v>45809</v>
          </cell>
        </row>
        <row r="450">
          <cell r="A450">
            <v>490</v>
          </cell>
          <cell r="H450">
            <v>45809</v>
          </cell>
        </row>
        <row r="451">
          <cell r="A451">
            <v>491</v>
          </cell>
          <cell r="H451">
            <v>46082</v>
          </cell>
        </row>
        <row r="452">
          <cell r="A452">
            <v>492</v>
          </cell>
          <cell r="H452">
            <v>45778</v>
          </cell>
        </row>
        <row r="453">
          <cell r="A453">
            <v>493</v>
          </cell>
          <cell r="H453">
            <v>45962</v>
          </cell>
        </row>
        <row r="454">
          <cell r="A454">
            <v>494</v>
          </cell>
          <cell r="H454">
            <v>45809</v>
          </cell>
        </row>
        <row r="455">
          <cell r="A455">
            <v>495</v>
          </cell>
          <cell r="H455">
            <v>45809</v>
          </cell>
        </row>
        <row r="456">
          <cell r="A456">
            <v>496</v>
          </cell>
          <cell r="H456">
            <v>45809</v>
          </cell>
        </row>
        <row r="457">
          <cell r="A457">
            <v>497</v>
          </cell>
          <cell r="H457">
            <v>45931</v>
          </cell>
        </row>
        <row r="458">
          <cell r="A458">
            <v>498</v>
          </cell>
          <cell r="H458">
            <v>45962</v>
          </cell>
        </row>
        <row r="459">
          <cell r="A459">
            <v>499</v>
          </cell>
          <cell r="H459">
            <v>45809</v>
          </cell>
        </row>
        <row r="460">
          <cell r="A460">
            <v>500</v>
          </cell>
          <cell r="H460">
            <v>45901</v>
          </cell>
        </row>
        <row r="461">
          <cell r="A461">
            <v>501</v>
          </cell>
          <cell r="H461">
            <v>45809</v>
          </cell>
        </row>
        <row r="462">
          <cell r="A462">
            <v>502</v>
          </cell>
          <cell r="H462">
            <v>45809</v>
          </cell>
        </row>
        <row r="463">
          <cell r="A463">
            <v>503</v>
          </cell>
          <cell r="H463">
            <v>45809</v>
          </cell>
        </row>
        <row r="464">
          <cell r="A464">
            <v>504</v>
          </cell>
          <cell r="H464">
            <v>46174</v>
          </cell>
        </row>
        <row r="465">
          <cell r="A465">
            <v>505</v>
          </cell>
          <cell r="H465">
            <v>45870</v>
          </cell>
        </row>
        <row r="466">
          <cell r="A466">
            <v>506</v>
          </cell>
          <cell r="H466">
            <v>45778</v>
          </cell>
        </row>
        <row r="467">
          <cell r="A467">
            <v>507</v>
          </cell>
          <cell r="H467">
            <v>45809</v>
          </cell>
        </row>
        <row r="468">
          <cell r="A468">
            <v>508</v>
          </cell>
          <cell r="H468">
            <v>45809</v>
          </cell>
        </row>
        <row r="469">
          <cell r="A469">
            <v>509</v>
          </cell>
          <cell r="H469">
            <v>45778</v>
          </cell>
        </row>
        <row r="470">
          <cell r="A470">
            <v>510</v>
          </cell>
          <cell r="H470">
            <v>45809</v>
          </cell>
        </row>
        <row r="471">
          <cell r="A471">
            <v>511</v>
          </cell>
          <cell r="H471">
            <v>45778</v>
          </cell>
        </row>
        <row r="472">
          <cell r="A472">
            <v>512</v>
          </cell>
          <cell r="H472">
            <v>45778</v>
          </cell>
        </row>
        <row r="473">
          <cell r="A473">
            <v>513</v>
          </cell>
          <cell r="H473">
            <v>45809</v>
          </cell>
        </row>
        <row r="474">
          <cell r="A474">
            <v>514</v>
          </cell>
          <cell r="H474">
            <v>45809</v>
          </cell>
        </row>
        <row r="475">
          <cell r="A475">
            <v>515</v>
          </cell>
          <cell r="H475">
            <v>45717</v>
          </cell>
        </row>
        <row r="476">
          <cell r="A476">
            <v>516</v>
          </cell>
          <cell r="H476">
            <v>45717</v>
          </cell>
        </row>
        <row r="477">
          <cell r="A477">
            <v>517</v>
          </cell>
          <cell r="H477">
            <v>46174</v>
          </cell>
        </row>
        <row r="478">
          <cell r="A478">
            <v>518</v>
          </cell>
          <cell r="H478">
            <v>45778</v>
          </cell>
        </row>
        <row r="479">
          <cell r="A479">
            <v>519</v>
          </cell>
          <cell r="H479">
            <v>45809</v>
          </cell>
        </row>
        <row r="480">
          <cell r="A480">
            <v>520</v>
          </cell>
          <cell r="H480">
            <v>45962</v>
          </cell>
        </row>
        <row r="481">
          <cell r="A481">
            <v>521</v>
          </cell>
          <cell r="H481">
            <v>45717</v>
          </cell>
        </row>
        <row r="482">
          <cell r="A482">
            <v>522</v>
          </cell>
          <cell r="H482">
            <v>45778</v>
          </cell>
        </row>
        <row r="483">
          <cell r="A483">
            <v>523</v>
          </cell>
          <cell r="H483">
            <v>45778</v>
          </cell>
        </row>
        <row r="484">
          <cell r="A484">
            <v>524</v>
          </cell>
          <cell r="H484">
            <v>45901</v>
          </cell>
        </row>
        <row r="485">
          <cell r="A485">
            <v>525</v>
          </cell>
          <cell r="H485">
            <v>45809</v>
          </cell>
        </row>
        <row r="486">
          <cell r="A486">
            <v>526</v>
          </cell>
          <cell r="H486">
            <v>45809</v>
          </cell>
        </row>
        <row r="487">
          <cell r="A487">
            <v>527</v>
          </cell>
          <cell r="H487">
            <v>45748</v>
          </cell>
        </row>
        <row r="488">
          <cell r="A488">
            <v>528</v>
          </cell>
          <cell r="H488">
            <v>45778</v>
          </cell>
        </row>
        <row r="489">
          <cell r="A489">
            <v>529</v>
          </cell>
          <cell r="H489">
            <v>45717</v>
          </cell>
        </row>
        <row r="490">
          <cell r="A490">
            <v>530</v>
          </cell>
          <cell r="H490">
            <v>45809</v>
          </cell>
        </row>
        <row r="491">
          <cell r="A491">
            <v>531</v>
          </cell>
          <cell r="H491">
            <v>45901</v>
          </cell>
        </row>
        <row r="492">
          <cell r="A492">
            <v>532</v>
          </cell>
          <cell r="H492">
            <v>45809</v>
          </cell>
        </row>
        <row r="493">
          <cell r="A493">
            <v>533</v>
          </cell>
          <cell r="H493">
            <v>45931</v>
          </cell>
        </row>
        <row r="494">
          <cell r="A494">
            <v>534</v>
          </cell>
          <cell r="H494">
            <v>45778</v>
          </cell>
        </row>
        <row r="495">
          <cell r="A495">
            <v>535</v>
          </cell>
          <cell r="H495">
            <v>45901</v>
          </cell>
        </row>
        <row r="496">
          <cell r="A496">
            <v>536</v>
          </cell>
          <cell r="H496">
            <v>45778</v>
          </cell>
        </row>
        <row r="497">
          <cell r="A497">
            <v>537</v>
          </cell>
          <cell r="H497">
            <v>45778</v>
          </cell>
        </row>
        <row r="498">
          <cell r="A498">
            <v>538</v>
          </cell>
          <cell r="H498">
            <v>45778</v>
          </cell>
        </row>
        <row r="499">
          <cell r="A499">
            <v>539</v>
          </cell>
          <cell r="H499">
            <v>45901</v>
          </cell>
        </row>
        <row r="500">
          <cell r="A500">
            <v>540</v>
          </cell>
          <cell r="H500">
            <v>45901</v>
          </cell>
        </row>
        <row r="501">
          <cell r="A501">
            <v>541</v>
          </cell>
          <cell r="H501">
            <v>45962</v>
          </cell>
        </row>
        <row r="502">
          <cell r="A502">
            <v>542</v>
          </cell>
          <cell r="H502">
            <v>45778</v>
          </cell>
        </row>
        <row r="503">
          <cell r="A503">
            <v>543</v>
          </cell>
          <cell r="H503">
            <v>45839</v>
          </cell>
        </row>
        <row r="504">
          <cell r="A504">
            <v>544</v>
          </cell>
          <cell r="H504">
            <v>45809</v>
          </cell>
        </row>
        <row r="505">
          <cell r="A505">
            <v>545</v>
          </cell>
          <cell r="H505">
            <v>45809</v>
          </cell>
        </row>
        <row r="506">
          <cell r="A506">
            <v>546</v>
          </cell>
          <cell r="H506">
            <v>45870</v>
          </cell>
        </row>
        <row r="507">
          <cell r="A507">
            <v>547</v>
          </cell>
          <cell r="H507">
            <v>45901</v>
          </cell>
        </row>
        <row r="508">
          <cell r="A508">
            <v>548</v>
          </cell>
          <cell r="H508">
            <v>45962</v>
          </cell>
        </row>
        <row r="509">
          <cell r="A509">
            <v>549</v>
          </cell>
          <cell r="H509">
            <v>45870</v>
          </cell>
        </row>
        <row r="510">
          <cell r="A510">
            <v>550</v>
          </cell>
          <cell r="H510">
            <v>45809</v>
          </cell>
        </row>
        <row r="511">
          <cell r="A511">
            <v>551</v>
          </cell>
          <cell r="H511">
            <v>45809</v>
          </cell>
        </row>
        <row r="512">
          <cell r="A512">
            <v>552</v>
          </cell>
          <cell r="H512">
            <v>45717</v>
          </cell>
        </row>
        <row r="513">
          <cell r="A513">
            <v>553</v>
          </cell>
          <cell r="H513">
            <v>45778</v>
          </cell>
        </row>
        <row r="514">
          <cell r="A514">
            <v>554</v>
          </cell>
          <cell r="H514">
            <v>45778</v>
          </cell>
        </row>
        <row r="515">
          <cell r="A515">
            <v>555</v>
          </cell>
          <cell r="H515">
            <v>45962</v>
          </cell>
        </row>
        <row r="516">
          <cell r="A516">
            <v>556</v>
          </cell>
          <cell r="H516">
            <v>45778</v>
          </cell>
        </row>
        <row r="517">
          <cell r="A517">
            <v>557</v>
          </cell>
          <cell r="H517">
            <v>46327</v>
          </cell>
        </row>
        <row r="518">
          <cell r="A518">
            <v>558</v>
          </cell>
          <cell r="H518">
            <v>46174</v>
          </cell>
        </row>
        <row r="519">
          <cell r="A519">
            <v>559</v>
          </cell>
          <cell r="H519">
            <v>45901</v>
          </cell>
        </row>
        <row r="520">
          <cell r="A520">
            <v>560</v>
          </cell>
          <cell r="H520">
            <v>45962</v>
          </cell>
        </row>
        <row r="521">
          <cell r="A521">
            <v>561</v>
          </cell>
          <cell r="H521">
            <v>45839</v>
          </cell>
        </row>
        <row r="522">
          <cell r="A522">
            <v>562</v>
          </cell>
          <cell r="H522">
            <v>45809</v>
          </cell>
        </row>
        <row r="523">
          <cell r="A523">
            <v>563</v>
          </cell>
          <cell r="H523">
            <v>45809</v>
          </cell>
        </row>
        <row r="524">
          <cell r="A524">
            <v>564</v>
          </cell>
          <cell r="H524">
            <v>45962</v>
          </cell>
        </row>
        <row r="525">
          <cell r="A525">
            <v>565</v>
          </cell>
          <cell r="H525">
            <v>45778</v>
          </cell>
        </row>
        <row r="526">
          <cell r="A526">
            <v>566</v>
          </cell>
          <cell r="H526">
            <v>45778</v>
          </cell>
        </row>
        <row r="527">
          <cell r="A527">
            <v>567</v>
          </cell>
          <cell r="H527">
            <v>46327</v>
          </cell>
        </row>
        <row r="528">
          <cell r="A528">
            <v>568</v>
          </cell>
          <cell r="H528">
            <v>45778</v>
          </cell>
        </row>
        <row r="529">
          <cell r="A529">
            <v>569</v>
          </cell>
          <cell r="H529">
            <v>45809</v>
          </cell>
        </row>
        <row r="530">
          <cell r="A530">
            <v>570</v>
          </cell>
          <cell r="H530">
            <v>45962</v>
          </cell>
        </row>
        <row r="531">
          <cell r="A531">
            <v>571</v>
          </cell>
          <cell r="H531">
            <v>45962</v>
          </cell>
        </row>
        <row r="532">
          <cell r="A532">
            <v>572</v>
          </cell>
          <cell r="H532">
            <v>45778</v>
          </cell>
        </row>
        <row r="533">
          <cell r="A533">
            <v>573</v>
          </cell>
          <cell r="H533">
            <v>45962</v>
          </cell>
        </row>
        <row r="534">
          <cell r="A534">
            <v>574</v>
          </cell>
          <cell r="H534">
            <v>45778</v>
          </cell>
        </row>
        <row r="535">
          <cell r="A535">
            <v>575</v>
          </cell>
          <cell r="H535">
            <v>45809</v>
          </cell>
        </row>
        <row r="536">
          <cell r="A536">
            <v>576</v>
          </cell>
          <cell r="H536">
            <v>45962</v>
          </cell>
        </row>
        <row r="537">
          <cell r="A537">
            <v>577</v>
          </cell>
          <cell r="H537">
            <v>45809</v>
          </cell>
        </row>
        <row r="538">
          <cell r="A538">
            <v>578</v>
          </cell>
          <cell r="H538">
            <v>45901</v>
          </cell>
        </row>
        <row r="539">
          <cell r="A539">
            <v>579</v>
          </cell>
          <cell r="H539">
            <v>45962</v>
          </cell>
        </row>
        <row r="540">
          <cell r="A540">
            <v>580</v>
          </cell>
          <cell r="H540">
            <v>45717</v>
          </cell>
        </row>
        <row r="541">
          <cell r="A541">
            <v>581</v>
          </cell>
          <cell r="H541">
            <v>45962</v>
          </cell>
        </row>
        <row r="542">
          <cell r="A542">
            <v>582</v>
          </cell>
          <cell r="H542">
            <v>45809</v>
          </cell>
        </row>
        <row r="543">
          <cell r="A543">
            <v>583</v>
          </cell>
          <cell r="H543">
            <v>45901</v>
          </cell>
        </row>
        <row r="544">
          <cell r="A544">
            <v>584</v>
          </cell>
          <cell r="H544">
            <v>45717</v>
          </cell>
        </row>
        <row r="545">
          <cell r="A545">
            <v>585</v>
          </cell>
          <cell r="H545">
            <v>45901</v>
          </cell>
        </row>
        <row r="546">
          <cell r="A546">
            <v>586</v>
          </cell>
          <cell r="H546">
            <v>45809</v>
          </cell>
        </row>
        <row r="547">
          <cell r="A547">
            <v>587</v>
          </cell>
          <cell r="H547">
            <v>45809</v>
          </cell>
        </row>
        <row r="548">
          <cell r="A548">
            <v>588</v>
          </cell>
          <cell r="H548">
            <v>46174</v>
          </cell>
        </row>
        <row r="549">
          <cell r="A549">
            <v>589</v>
          </cell>
          <cell r="H549">
            <v>45809</v>
          </cell>
        </row>
        <row r="550">
          <cell r="A550">
            <v>590</v>
          </cell>
          <cell r="H550">
            <v>45839</v>
          </cell>
        </row>
        <row r="551">
          <cell r="A551">
            <v>591</v>
          </cell>
          <cell r="H551">
            <v>45809</v>
          </cell>
        </row>
        <row r="552">
          <cell r="A552">
            <v>592</v>
          </cell>
          <cell r="H552">
            <v>45809</v>
          </cell>
        </row>
        <row r="553">
          <cell r="A553">
            <v>593</v>
          </cell>
          <cell r="H553">
            <v>45901</v>
          </cell>
        </row>
        <row r="554">
          <cell r="A554">
            <v>594</v>
          </cell>
          <cell r="H554">
            <v>45809</v>
          </cell>
        </row>
        <row r="555">
          <cell r="A555">
            <v>595</v>
          </cell>
          <cell r="H555">
            <v>45809</v>
          </cell>
        </row>
        <row r="556">
          <cell r="A556">
            <v>596</v>
          </cell>
          <cell r="H556">
            <v>45809</v>
          </cell>
        </row>
        <row r="557">
          <cell r="A557">
            <v>597</v>
          </cell>
          <cell r="H557">
            <v>45778</v>
          </cell>
        </row>
        <row r="558">
          <cell r="A558">
            <v>598</v>
          </cell>
          <cell r="H558">
            <v>45962</v>
          </cell>
        </row>
        <row r="559">
          <cell r="A559">
            <v>599</v>
          </cell>
          <cell r="H559">
            <v>45778</v>
          </cell>
        </row>
        <row r="560">
          <cell r="A560">
            <v>600</v>
          </cell>
          <cell r="H560">
            <v>45809</v>
          </cell>
        </row>
        <row r="561">
          <cell r="A561">
            <v>601</v>
          </cell>
          <cell r="H561">
            <v>45778</v>
          </cell>
        </row>
        <row r="562">
          <cell r="A562">
            <v>602</v>
          </cell>
          <cell r="H562">
            <v>45352</v>
          </cell>
        </row>
        <row r="563">
          <cell r="A563">
            <v>603</v>
          </cell>
          <cell r="H563">
            <v>45809</v>
          </cell>
        </row>
        <row r="564">
          <cell r="A564">
            <v>604</v>
          </cell>
          <cell r="H564">
            <v>45870</v>
          </cell>
        </row>
        <row r="565">
          <cell r="A565">
            <v>606</v>
          </cell>
          <cell r="H565">
            <v>45962</v>
          </cell>
        </row>
        <row r="566">
          <cell r="A566">
            <v>607</v>
          </cell>
          <cell r="H566">
            <v>45809</v>
          </cell>
        </row>
        <row r="567">
          <cell r="A567">
            <v>608</v>
          </cell>
          <cell r="H567">
            <v>45901</v>
          </cell>
        </row>
        <row r="568">
          <cell r="A568">
            <v>609</v>
          </cell>
          <cell r="H568">
            <v>45809</v>
          </cell>
        </row>
        <row r="569">
          <cell r="A569">
            <v>610</v>
          </cell>
          <cell r="H569">
            <v>45809</v>
          </cell>
        </row>
        <row r="570">
          <cell r="A570">
            <v>611</v>
          </cell>
          <cell r="H570">
            <v>46082</v>
          </cell>
        </row>
        <row r="571">
          <cell r="A571">
            <v>612</v>
          </cell>
          <cell r="H571">
            <v>45717</v>
          </cell>
        </row>
        <row r="572">
          <cell r="A572">
            <v>613</v>
          </cell>
          <cell r="H572">
            <v>45170</v>
          </cell>
        </row>
        <row r="573">
          <cell r="A573">
            <v>614</v>
          </cell>
          <cell r="H573">
            <v>45962</v>
          </cell>
        </row>
        <row r="574">
          <cell r="A574">
            <v>615</v>
          </cell>
          <cell r="H574">
            <v>45809</v>
          </cell>
        </row>
        <row r="575">
          <cell r="A575">
            <v>616</v>
          </cell>
          <cell r="H575">
            <v>45839</v>
          </cell>
        </row>
        <row r="576">
          <cell r="A576">
            <v>617</v>
          </cell>
          <cell r="H576">
            <v>45778</v>
          </cell>
        </row>
        <row r="577">
          <cell r="A577">
            <v>618</v>
          </cell>
          <cell r="H577">
            <v>45778</v>
          </cell>
        </row>
        <row r="578">
          <cell r="A578">
            <v>619</v>
          </cell>
          <cell r="H578">
            <v>45809</v>
          </cell>
        </row>
        <row r="579">
          <cell r="A579">
            <v>620</v>
          </cell>
          <cell r="H579">
            <v>45809</v>
          </cell>
        </row>
        <row r="580">
          <cell r="A580">
            <v>621</v>
          </cell>
          <cell r="H580">
            <v>45901</v>
          </cell>
        </row>
        <row r="581">
          <cell r="A581">
            <v>622</v>
          </cell>
          <cell r="H581">
            <v>45809</v>
          </cell>
        </row>
        <row r="582">
          <cell r="A582">
            <v>623</v>
          </cell>
          <cell r="H582">
            <v>45962</v>
          </cell>
        </row>
        <row r="583">
          <cell r="A583">
            <v>624</v>
          </cell>
          <cell r="H583">
            <v>45839</v>
          </cell>
        </row>
        <row r="584">
          <cell r="A584">
            <v>625</v>
          </cell>
          <cell r="H584">
            <v>45901</v>
          </cell>
        </row>
        <row r="585">
          <cell r="A585">
            <v>626</v>
          </cell>
          <cell r="H585">
            <v>45839</v>
          </cell>
        </row>
        <row r="586">
          <cell r="A586">
            <v>627</v>
          </cell>
          <cell r="H586">
            <v>45809</v>
          </cell>
        </row>
        <row r="587">
          <cell r="A587">
            <v>628</v>
          </cell>
          <cell r="H587">
            <v>45778</v>
          </cell>
        </row>
        <row r="588">
          <cell r="A588">
            <v>629</v>
          </cell>
          <cell r="H588">
            <v>45901</v>
          </cell>
        </row>
        <row r="589">
          <cell r="A589">
            <v>630</v>
          </cell>
          <cell r="H589">
            <v>45717</v>
          </cell>
        </row>
        <row r="590">
          <cell r="A590">
            <v>631</v>
          </cell>
          <cell r="H590">
            <v>45809</v>
          </cell>
        </row>
        <row r="591">
          <cell r="A591">
            <v>632</v>
          </cell>
          <cell r="H591">
            <v>45962</v>
          </cell>
        </row>
        <row r="592">
          <cell r="A592">
            <v>633</v>
          </cell>
          <cell r="H592">
            <v>46023</v>
          </cell>
        </row>
        <row r="593">
          <cell r="A593">
            <v>634</v>
          </cell>
          <cell r="H593">
            <v>45901</v>
          </cell>
        </row>
        <row r="594">
          <cell r="A594">
            <v>635</v>
          </cell>
          <cell r="H594">
            <v>46204</v>
          </cell>
        </row>
        <row r="595">
          <cell r="A595">
            <v>636</v>
          </cell>
          <cell r="H595">
            <v>45962</v>
          </cell>
        </row>
        <row r="596">
          <cell r="A596">
            <v>637</v>
          </cell>
          <cell r="H596">
            <v>45901</v>
          </cell>
        </row>
        <row r="597">
          <cell r="A597">
            <v>638</v>
          </cell>
          <cell r="H597">
            <v>45717</v>
          </cell>
        </row>
        <row r="598">
          <cell r="A598">
            <v>639</v>
          </cell>
          <cell r="H598">
            <v>45901</v>
          </cell>
        </row>
        <row r="599">
          <cell r="A599">
            <v>640</v>
          </cell>
          <cell r="H599">
            <v>45778</v>
          </cell>
        </row>
        <row r="600">
          <cell r="A600">
            <v>641</v>
          </cell>
          <cell r="H600">
            <v>45809</v>
          </cell>
        </row>
        <row r="601">
          <cell r="A601">
            <v>642</v>
          </cell>
          <cell r="H601">
            <v>45717</v>
          </cell>
        </row>
        <row r="602">
          <cell r="A602">
            <v>643</v>
          </cell>
          <cell r="H602">
            <v>45809</v>
          </cell>
        </row>
        <row r="603">
          <cell r="A603">
            <v>644</v>
          </cell>
          <cell r="H603">
            <v>46174</v>
          </cell>
        </row>
        <row r="604">
          <cell r="A604">
            <v>645</v>
          </cell>
          <cell r="H604">
            <v>45870</v>
          </cell>
        </row>
        <row r="605">
          <cell r="A605">
            <v>646</v>
          </cell>
          <cell r="H605">
            <v>45717</v>
          </cell>
        </row>
        <row r="606">
          <cell r="A606">
            <v>647</v>
          </cell>
          <cell r="H606">
            <v>45962</v>
          </cell>
        </row>
        <row r="607">
          <cell r="A607">
            <v>648</v>
          </cell>
          <cell r="H607">
            <v>45809</v>
          </cell>
        </row>
        <row r="608">
          <cell r="A608">
            <v>649</v>
          </cell>
          <cell r="H608">
            <v>45962</v>
          </cell>
        </row>
        <row r="609">
          <cell r="A609">
            <v>650</v>
          </cell>
          <cell r="H609">
            <v>45962</v>
          </cell>
        </row>
        <row r="610">
          <cell r="A610">
            <v>651</v>
          </cell>
          <cell r="H610">
            <v>45839</v>
          </cell>
        </row>
        <row r="611">
          <cell r="A611">
            <v>652</v>
          </cell>
          <cell r="H611">
            <v>45901</v>
          </cell>
        </row>
        <row r="612">
          <cell r="A612">
            <v>653</v>
          </cell>
          <cell r="H612">
            <v>45962</v>
          </cell>
        </row>
        <row r="613">
          <cell r="A613">
            <v>654</v>
          </cell>
          <cell r="H613">
            <v>45809</v>
          </cell>
        </row>
        <row r="614">
          <cell r="A614">
            <v>655</v>
          </cell>
          <cell r="H614">
            <v>45778</v>
          </cell>
        </row>
        <row r="615">
          <cell r="A615">
            <v>656</v>
          </cell>
          <cell r="H615">
            <v>46023</v>
          </cell>
        </row>
        <row r="616">
          <cell r="A616">
            <v>657</v>
          </cell>
          <cell r="H616">
            <v>45809</v>
          </cell>
        </row>
        <row r="617">
          <cell r="A617">
            <v>658</v>
          </cell>
          <cell r="H617">
            <v>45809</v>
          </cell>
        </row>
        <row r="618">
          <cell r="A618">
            <v>659</v>
          </cell>
          <cell r="H618">
            <v>45809</v>
          </cell>
        </row>
        <row r="619">
          <cell r="A619">
            <v>660</v>
          </cell>
          <cell r="H619">
            <v>45809</v>
          </cell>
        </row>
        <row r="620">
          <cell r="A620">
            <v>661</v>
          </cell>
          <cell r="H620">
            <v>45962</v>
          </cell>
        </row>
        <row r="621">
          <cell r="A621">
            <v>663</v>
          </cell>
          <cell r="H621">
            <v>45809</v>
          </cell>
        </row>
        <row r="622">
          <cell r="A622">
            <v>664</v>
          </cell>
          <cell r="H622">
            <v>45809</v>
          </cell>
        </row>
        <row r="623">
          <cell r="A623">
            <v>665</v>
          </cell>
          <cell r="H623">
            <v>45962</v>
          </cell>
        </row>
        <row r="624">
          <cell r="A624">
            <v>666</v>
          </cell>
          <cell r="H624">
            <v>45809</v>
          </cell>
        </row>
        <row r="625">
          <cell r="A625">
            <v>667</v>
          </cell>
          <cell r="H625">
            <v>45352</v>
          </cell>
        </row>
        <row r="626">
          <cell r="A626">
            <v>668</v>
          </cell>
          <cell r="H626">
            <v>45809</v>
          </cell>
        </row>
        <row r="627">
          <cell r="A627">
            <v>670</v>
          </cell>
          <cell r="H627">
            <v>45839</v>
          </cell>
        </row>
        <row r="628">
          <cell r="A628">
            <v>671</v>
          </cell>
          <cell r="H628">
            <v>45809</v>
          </cell>
        </row>
        <row r="629">
          <cell r="A629">
            <v>672</v>
          </cell>
          <cell r="H629">
            <v>45778</v>
          </cell>
        </row>
        <row r="630">
          <cell r="A630">
            <v>673</v>
          </cell>
          <cell r="H630">
            <v>45505</v>
          </cell>
        </row>
        <row r="631">
          <cell r="A631">
            <v>674</v>
          </cell>
          <cell r="H631">
            <v>45809</v>
          </cell>
        </row>
        <row r="632">
          <cell r="A632" t="str">
            <v>SENTINELA</v>
          </cell>
          <cell r="H632">
            <v>46023</v>
          </cell>
        </row>
        <row r="633">
          <cell r="A633" t="str">
            <v>VERDE</v>
          </cell>
          <cell r="H633">
            <v>45778</v>
          </cell>
        </row>
        <row r="634">
          <cell r="A634">
            <v>676</v>
          </cell>
          <cell r="H634">
            <v>45717</v>
          </cell>
        </row>
        <row r="635">
          <cell r="A635"/>
          <cell r="H635"/>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570B0-BDCD-4D2B-9E22-E1BFD62BC0C9}">
  <sheetPr codeName="Planilha10"/>
  <dimension ref="A1:DN633"/>
  <sheetViews>
    <sheetView tabSelected="1" zoomScaleNormal="100" workbookViewId="0">
      <pane ySplit="1" topLeftCell="A601" activePane="bottomLeft" state="frozen"/>
      <selection pane="bottomLeft" activeCell="A626" sqref="A626"/>
    </sheetView>
  </sheetViews>
  <sheetFormatPr defaultColWidth="8.88671875" defaultRowHeight="14.4" x14ac:dyDescent="0.3"/>
  <cols>
    <col min="1" max="1" width="9.6640625" style="5" customWidth="1"/>
    <col min="2" max="2" width="12" style="21" customWidth="1"/>
    <col min="3" max="3" width="21.6640625" style="5" customWidth="1"/>
    <col min="4" max="4" width="90.109375" style="11" customWidth="1"/>
    <col min="5" max="5" width="8.88671875" style="11" customWidth="1"/>
    <col min="6" max="6" width="24.5546875" style="18" hidden="1" customWidth="1"/>
    <col min="7" max="7" width="21.6640625" style="5" customWidth="1"/>
    <col min="8" max="8" width="71" style="11" customWidth="1"/>
    <col min="9" max="10" width="21.6640625" style="5" hidden="1" customWidth="1"/>
    <col min="11" max="11" width="23.6640625" style="30" hidden="1" customWidth="1"/>
    <col min="12" max="12" width="18.5546875" style="32" hidden="1" customWidth="1"/>
    <col min="13" max="13" width="18.5546875" style="35" hidden="1" customWidth="1"/>
    <col min="14" max="16" width="18.5546875" style="32" hidden="1" customWidth="1"/>
    <col min="17" max="17" width="46.44140625" style="32" hidden="1" customWidth="1"/>
    <col min="18" max="18" width="41.44140625" style="11" hidden="1" customWidth="1"/>
    <col min="19" max="19" width="42" hidden="1" customWidth="1"/>
    <col min="20" max="20" width="42.33203125" style="11" hidden="1" customWidth="1"/>
    <col min="21" max="21" width="39" style="11" customWidth="1"/>
    <col min="22" max="22" width="26.109375" style="11" customWidth="1"/>
    <col min="23" max="23" width="16.88671875" style="55" customWidth="1"/>
    <col min="24" max="24" width="15" style="11" customWidth="1"/>
    <col min="25" max="16384" width="8.88671875" style="11"/>
  </cols>
  <sheetData>
    <row r="1" spans="1:24" ht="15.6" x14ac:dyDescent="0.3">
      <c r="A1" s="49" t="s">
        <v>427</v>
      </c>
      <c r="B1" s="49" t="s">
        <v>1048</v>
      </c>
      <c r="C1" s="49" t="s">
        <v>532</v>
      </c>
      <c r="D1" s="44" t="s">
        <v>531</v>
      </c>
      <c r="E1" s="50" t="s">
        <v>1508</v>
      </c>
      <c r="F1" s="44" t="s">
        <v>945</v>
      </c>
      <c r="G1" s="44" t="s">
        <v>535</v>
      </c>
      <c r="H1" s="44" t="s">
        <v>534</v>
      </c>
      <c r="I1" s="51"/>
      <c r="J1" s="51"/>
      <c r="K1" s="46" t="s">
        <v>1050</v>
      </c>
      <c r="L1" s="46" t="s">
        <v>1123</v>
      </c>
      <c r="M1" s="46" t="s">
        <v>1124</v>
      </c>
      <c r="N1" s="46" t="s">
        <v>1125</v>
      </c>
      <c r="O1" s="46" t="s">
        <v>1126</v>
      </c>
      <c r="P1" s="46" t="s">
        <v>1127</v>
      </c>
      <c r="Q1" s="46" t="s">
        <v>1132</v>
      </c>
      <c r="R1" s="46" t="s">
        <v>1129</v>
      </c>
      <c r="S1" s="47" t="s">
        <v>1149</v>
      </c>
      <c r="T1" s="47" t="s">
        <v>1153</v>
      </c>
      <c r="U1" s="50" t="s">
        <v>3666</v>
      </c>
      <c r="V1" s="50" t="s">
        <v>3672</v>
      </c>
      <c r="W1" s="50" t="s">
        <v>3674</v>
      </c>
      <c r="X1" s="50" t="s">
        <v>3673</v>
      </c>
    </row>
    <row r="2" spans="1:24" x14ac:dyDescent="0.3">
      <c r="A2" s="5">
        <v>1</v>
      </c>
      <c r="B2" s="21">
        <v>75</v>
      </c>
      <c r="C2" s="3" t="s">
        <v>2</v>
      </c>
      <c r="D2" s="4" t="s">
        <v>20</v>
      </c>
      <c r="E2" s="11" t="s">
        <v>2827</v>
      </c>
      <c r="F2" s="18" t="s">
        <v>624</v>
      </c>
      <c r="G2" s="3" t="s">
        <v>1</v>
      </c>
      <c r="H2" s="4" t="s">
        <v>257</v>
      </c>
      <c r="K2" s="8" t="s">
        <v>1052</v>
      </c>
      <c r="M2" s="35">
        <v>0.02</v>
      </c>
      <c r="N2" s="32">
        <v>0.05</v>
      </c>
      <c r="O2" s="32">
        <v>0.1</v>
      </c>
      <c r="P2" s="32">
        <v>0.15</v>
      </c>
      <c r="R2" s="11" t="s">
        <v>1130</v>
      </c>
      <c r="S2" t="s">
        <v>1150</v>
      </c>
      <c r="T2" s="11" t="s">
        <v>1135</v>
      </c>
      <c r="U2" s="11" t="s">
        <v>704</v>
      </c>
      <c r="V2" s="11" t="s">
        <v>3201</v>
      </c>
      <c r="W2" s="54">
        <f>INDEX([1]ACOMPANHAMENTO!H:H,MATCH(A2,[1]ACOMPANHAMENTO!A:A,0))</f>
        <v>45809</v>
      </c>
      <c r="X2" s="11">
        <f ca="1">W2-TODAY()</f>
        <v>-124</v>
      </c>
    </row>
    <row r="3" spans="1:24" x14ac:dyDescent="0.3">
      <c r="A3" s="5">
        <v>2</v>
      </c>
      <c r="B3" s="21">
        <v>25</v>
      </c>
      <c r="C3" s="3" t="s">
        <v>4</v>
      </c>
      <c r="D3" s="4" t="s">
        <v>292</v>
      </c>
      <c r="E3" s="11" t="s">
        <v>2827</v>
      </c>
      <c r="F3" s="18" t="s">
        <v>889</v>
      </c>
      <c r="G3" s="3" t="s">
        <v>5</v>
      </c>
      <c r="H3" s="4" t="s">
        <v>293</v>
      </c>
      <c r="K3" s="8" t="s">
        <v>1053</v>
      </c>
      <c r="Q3" s="11" t="s">
        <v>1054</v>
      </c>
      <c r="R3" s="11" t="s">
        <v>1133</v>
      </c>
      <c r="S3" t="s">
        <v>1136</v>
      </c>
      <c r="T3" s="11" t="s">
        <v>1137</v>
      </c>
      <c r="U3" s="11" t="s">
        <v>820</v>
      </c>
      <c r="V3" s="11" t="s">
        <v>3239</v>
      </c>
      <c r="W3" s="54">
        <f>INDEX([1]ACOMPANHAMENTO!H:H,MATCH(A3,[1]ACOMPANHAMENTO!A:A,0))</f>
        <v>45931</v>
      </c>
      <c r="X3" s="11">
        <f t="shared" ref="X3:X66" ca="1" si="0">W3-TODAY()</f>
        <v>-2</v>
      </c>
    </row>
    <row r="4" spans="1:24" x14ac:dyDescent="0.3">
      <c r="A4" s="5">
        <v>3</v>
      </c>
      <c r="B4" s="21">
        <v>75</v>
      </c>
      <c r="C4" s="3" t="s">
        <v>2</v>
      </c>
      <c r="D4" s="4" t="s">
        <v>20</v>
      </c>
      <c r="E4" s="11" t="s">
        <v>2827</v>
      </c>
      <c r="F4" s="18" t="s">
        <v>624</v>
      </c>
      <c r="G4" s="3" t="s">
        <v>1</v>
      </c>
      <c r="H4" s="4" t="s">
        <v>257</v>
      </c>
      <c r="I4" s="52"/>
      <c r="J4" s="52"/>
      <c r="K4" s="8" t="s">
        <v>1052</v>
      </c>
      <c r="M4" s="35">
        <v>0.02</v>
      </c>
      <c r="N4" s="32">
        <v>0.05</v>
      </c>
      <c r="O4" s="32">
        <v>0.1</v>
      </c>
      <c r="P4" s="32">
        <v>0.15</v>
      </c>
      <c r="R4" s="11" t="s">
        <v>1130</v>
      </c>
      <c r="S4" t="s">
        <v>1150</v>
      </c>
      <c r="T4" s="11" t="s">
        <v>1135</v>
      </c>
      <c r="U4" s="11" t="s">
        <v>704</v>
      </c>
      <c r="V4" s="11" t="s">
        <v>3201</v>
      </c>
      <c r="W4" s="54">
        <f>INDEX([1]ACOMPANHAMENTO!H:H,MATCH(A4,[1]ACOMPANHAMENTO!A:A,0))</f>
        <v>45809</v>
      </c>
      <c r="X4" s="11">
        <f t="shared" ca="1" si="0"/>
        <v>-124</v>
      </c>
    </row>
    <row r="5" spans="1:24" x14ac:dyDescent="0.3">
      <c r="A5" s="5">
        <v>4</v>
      </c>
      <c r="B5" s="21">
        <v>2</v>
      </c>
      <c r="C5" s="3" t="s">
        <v>9</v>
      </c>
      <c r="D5" s="4" t="s">
        <v>429</v>
      </c>
      <c r="E5" s="11" t="s">
        <v>2827</v>
      </c>
      <c r="F5" s="18" t="s">
        <v>536</v>
      </c>
      <c r="G5" s="3" t="s">
        <v>8</v>
      </c>
      <c r="H5" s="4" t="s">
        <v>294</v>
      </c>
      <c r="K5" s="8" t="s">
        <v>1052</v>
      </c>
      <c r="M5" s="35">
        <v>4.4999999999999998E-2</v>
      </c>
      <c r="S5" t="s">
        <v>1139</v>
      </c>
      <c r="T5" s="11" t="s">
        <v>1140</v>
      </c>
      <c r="U5" s="11" t="s">
        <v>3587</v>
      </c>
      <c r="V5" s="11" t="s">
        <v>2926</v>
      </c>
      <c r="W5" s="54">
        <f>INDEX([1]ACOMPANHAMENTO!H:H,MATCH(A5,[1]ACOMPANHAMENTO!A:A,0))</f>
        <v>45689</v>
      </c>
      <c r="X5" s="11">
        <f t="shared" ca="1" si="0"/>
        <v>-244</v>
      </c>
    </row>
    <row r="6" spans="1:24" x14ac:dyDescent="0.3">
      <c r="A6" s="5">
        <v>5</v>
      </c>
      <c r="B6" s="21">
        <v>18</v>
      </c>
      <c r="C6" s="3" t="s">
        <v>2</v>
      </c>
      <c r="D6" s="4" t="s">
        <v>20</v>
      </c>
      <c r="E6" s="11" t="s">
        <v>2827</v>
      </c>
      <c r="F6" s="18" t="s">
        <v>537</v>
      </c>
      <c r="G6" s="3" t="s">
        <v>1</v>
      </c>
      <c r="H6" s="4" t="s">
        <v>257</v>
      </c>
      <c r="K6" s="8" t="s">
        <v>1052</v>
      </c>
      <c r="M6" s="35">
        <v>0.02</v>
      </c>
      <c r="N6" s="32">
        <v>0.04</v>
      </c>
      <c r="O6" s="32">
        <v>0.08</v>
      </c>
      <c r="P6" s="32">
        <v>0.12</v>
      </c>
      <c r="S6" t="s">
        <v>1138</v>
      </c>
      <c r="T6" s="11" t="s">
        <v>1135</v>
      </c>
      <c r="U6" s="11" t="s">
        <v>704</v>
      </c>
      <c r="V6" s="11" t="s">
        <v>3396</v>
      </c>
      <c r="W6" s="54">
        <f>INDEX([1]ACOMPANHAMENTO!H:H,MATCH(A6,[1]ACOMPANHAMENTO!A:A,0))</f>
        <v>45809</v>
      </c>
      <c r="X6" s="11">
        <f t="shared" ca="1" si="0"/>
        <v>-124</v>
      </c>
    </row>
    <row r="7" spans="1:24" x14ac:dyDescent="0.3">
      <c r="A7" s="5">
        <v>7</v>
      </c>
      <c r="B7" s="21">
        <v>9</v>
      </c>
      <c r="C7" s="3" t="s">
        <v>11</v>
      </c>
      <c r="D7" s="4" t="s">
        <v>297</v>
      </c>
      <c r="E7" s="11" t="s">
        <v>2827</v>
      </c>
      <c r="F7" s="18" t="s">
        <v>538</v>
      </c>
      <c r="G7" s="3" t="s">
        <v>10</v>
      </c>
      <c r="H7" s="4" t="s">
        <v>296</v>
      </c>
      <c r="K7" s="8" t="s">
        <v>1055</v>
      </c>
      <c r="M7" s="35">
        <v>0.03</v>
      </c>
      <c r="S7" t="s">
        <v>1141</v>
      </c>
      <c r="T7" s="11" t="s">
        <v>1151</v>
      </c>
      <c r="U7" s="11" t="s">
        <v>3588</v>
      </c>
      <c r="V7" s="11" t="s">
        <v>3151</v>
      </c>
      <c r="W7" s="54">
        <f>INDEX([1]ACOMPANHAMENTO!H:H,MATCH(A7,[1]ACOMPANHAMENTO!A:A,0))</f>
        <v>46082</v>
      </c>
      <c r="X7" s="11">
        <f t="shared" ca="1" si="0"/>
        <v>149</v>
      </c>
    </row>
    <row r="8" spans="1:24" x14ac:dyDescent="0.3">
      <c r="A8" s="5">
        <v>8</v>
      </c>
      <c r="B8" s="21">
        <v>18</v>
      </c>
      <c r="C8" s="3" t="s">
        <v>2</v>
      </c>
      <c r="D8" s="4" t="s">
        <v>20</v>
      </c>
      <c r="E8" s="11" t="s">
        <v>2827</v>
      </c>
      <c r="F8" s="18" t="s">
        <v>539</v>
      </c>
      <c r="G8" s="3" t="s">
        <v>1</v>
      </c>
      <c r="H8" s="4" t="s">
        <v>257</v>
      </c>
      <c r="K8" s="8" t="s">
        <v>1052</v>
      </c>
      <c r="M8" s="35">
        <v>0.02</v>
      </c>
      <c r="N8" s="32">
        <v>0.04</v>
      </c>
      <c r="O8" s="32">
        <v>0.08</v>
      </c>
      <c r="P8" s="32">
        <v>0.12</v>
      </c>
      <c r="S8" t="s">
        <v>1138</v>
      </c>
      <c r="T8" s="11" t="s">
        <v>1135</v>
      </c>
      <c r="U8" s="11" t="s">
        <v>704</v>
      </c>
      <c r="V8" s="11" t="s">
        <v>3282</v>
      </c>
      <c r="W8" s="54">
        <f>INDEX([1]ACOMPANHAMENTO!H:H,MATCH(A8,[1]ACOMPANHAMENTO!A:A,0))</f>
        <v>45809</v>
      </c>
      <c r="X8" s="11">
        <f t="shared" ca="1" si="0"/>
        <v>-124</v>
      </c>
    </row>
    <row r="9" spans="1:24" x14ac:dyDescent="0.3">
      <c r="A9" s="5">
        <v>9</v>
      </c>
      <c r="B9" s="21">
        <v>18</v>
      </c>
      <c r="C9" s="3" t="s">
        <v>2</v>
      </c>
      <c r="D9" s="4" t="s">
        <v>20</v>
      </c>
      <c r="E9" s="11" t="s">
        <v>2827</v>
      </c>
      <c r="F9" s="18" t="s">
        <v>540</v>
      </c>
      <c r="G9" s="3" t="s">
        <v>1</v>
      </c>
      <c r="H9" s="4" t="s">
        <v>257</v>
      </c>
      <c r="K9" s="8" t="s">
        <v>1052</v>
      </c>
      <c r="M9" s="35">
        <v>0.02</v>
      </c>
      <c r="N9" s="32">
        <v>0.04</v>
      </c>
      <c r="O9" s="32">
        <v>0.08</v>
      </c>
      <c r="P9" s="32">
        <v>0.12</v>
      </c>
      <c r="S9" t="s">
        <v>1138</v>
      </c>
      <c r="T9" s="11" t="s">
        <v>1135</v>
      </c>
      <c r="U9" s="11" t="s">
        <v>704</v>
      </c>
      <c r="V9" s="11" t="s">
        <v>3287</v>
      </c>
      <c r="W9" s="54">
        <f>INDEX([1]ACOMPANHAMENTO!H:H,MATCH(A9,[1]ACOMPANHAMENTO!A:A,0))</f>
        <v>45809</v>
      </c>
      <c r="X9" s="11">
        <f t="shared" ca="1" si="0"/>
        <v>-124</v>
      </c>
    </row>
    <row r="10" spans="1:24" x14ac:dyDescent="0.3">
      <c r="A10" s="5">
        <v>10</v>
      </c>
      <c r="B10" s="21">
        <v>2</v>
      </c>
      <c r="C10" s="3" t="s">
        <v>9</v>
      </c>
      <c r="D10" s="4" t="s">
        <v>295</v>
      </c>
      <c r="E10" s="11" t="s">
        <v>2827</v>
      </c>
      <c r="F10" s="18" t="s">
        <v>541</v>
      </c>
      <c r="G10" s="3" t="s">
        <v>8</v>
      </c>
      <c r="H10" s="4" t="s">
        <v>294</v>
      </c>
      <c r="K10" s="8" t="s">
        <v>1052</v>
      </c>
      <c r="M10" s="35">
        <v>4.4999999999999998E-2</v>
      </c>
      <c r="S10" t="s">
        <v>1139</v>
      </c>
      <c r="T10" s="11" t="s">
        <v>1140</v>
      </c>
      <c r="U10" s="11" t="s">
        <v>3587</v>
      </c>
      <c r="V10" s="11" t="s">
        <v>3397</v>
      </c>
      <c r="W10" s="54">
        <f>INDEX([1]ACOMPANHAMENTO!H:H,MATCH(A10,[1]ACOMPANHAMENTO!A:A,0))</f>
        <v>45689</v>
      </c>
      <c r="X10" s="11">
        <f t="shared" ca="1" si="0"/>
        <v>-244</v>
      </c>
    </row>
    <row r="11" spans="1:24" x14ac:dyDescent="0.3">
      <c r="A11" s="5">
        <v>11</v>
      </c>
      <c r="B11" s="21">
        <v>2</v>
      </c>
      <c r="C11" s="3" t="s">
        <v>9</v>
      </c>
      <c r="D11" s="4" t="s">
        <v>295</v>
      </c>
      <c r="E11" s="11" t="s">
        <v>2827</v>
      </c>
      <c r="F11" s="18" t="s">
        <v>542</v>
      </c>
      <c r="G11" s="3" t="s">
        <v>8</v>
      </c>
      <c r="H11" s="4" t="s">
        <v>294</v>
      </c>
      <c r="K11" s="8" t="s">
        <v>1052</v>
      </c>
      <c r="M11" s="35">
        <v>4.4999999999999998E-2</v>
      </c>
      <c r="S11" t="s">
        <v>1139</v>
      </c>
      <c r="T11" s="11" t="s">
        <v>1140</v>
      </c>
      <c r="U11" s="11" t="s">
        <v>3587</v>
      </c>
      <c r="V11" s="11" t="s">
        <v>3398</v>
      </c>
      <c r="W11" s="54">
        <f>INDEX([1]ACOMPANHAMENTO!H:H,MATCH(A11,[1]ACOMPANHAMENTO!A:A,0))</f>
        <v>45689</v>
      </c>
      <c r="X11" s="11">
        <f t="shared" ca="1" si="0"/>
        <v>-244</v>
      </c>
    </row>
    <row r="12" spans="1:24" x14ac:dyDescent="0.3">
      <c r="A12" s="5">
        <v>12</v>
      </c>
      <c r="B12" s="21">
        <v>8</v>
      </c>
      <c r="C12" s="3" t="s">
        <v>13</v>
      </c>
      <c r="D12" s="4" t="s">
        <v>299</v>
      </c>
      <c r="E12" s="11" t="s">
        <v>2827</v>
      </c>
      <c r="F12" s="18" t="s">
        <v>543</v>
      </c>
      <c r="G12" s="3" t="s">
        <v>12</v>
      </c>
      <c r="H12" s="4" t="s">
        <v>298</v>
      </c>
      <c r="K12" s="8" t="s">
        <v>1052</v>
      </c>
      <c r="M12" s="35">
        <v>0.03</v>
      </c>
      <c r="S12" t="s">
        <v>1143</v>
      </c>
      <c r="T12" s="11" t="s">
        <v>1142</v>
      </c>
      <c r="U12" s="11" t="s">
        <v>3589</v>
      </c>
      <c r="V12" s="11" t="s">
        <v>2945</v>
      </c>
      <c r="W12" s="54">
        <f>INDEX([1]ACOMPANHAMENTO!H:H,MATCH(A12,[1]ACOMPANHAMENTO!A:A,0))</f>
        <v>45717</v>
      </c>
      <c r="X12" s="11">
        <f t="shared" ca="1" si="0"/>
        <v>-216</v>
      </c>
    </row>
    <row r="13" spans="1:24" x14ac:dyDescent="0.3">
      <c r="A13" s="5">
        <v>13</v>
      </c>
      <c r="B13" s="21">
        <v>14</v>
      </c>
      <c r="C13" s="3" t="s">
        <v>16</v>
      </c>
      <c r="D13" s="4" t="s">
        <v>300</v>
      </c>
      <c r="E13" s="11" t="s">
        <v>2827</v>
      </c>
      <c r="F13" s="18" t="s">
        <v>731</v>
      </c>
      <c r="G13" s="3" t="s">
        <v>17</v>
      </c>
      <c r="H13" s="4" t="s">
        <v>301</v>
      </c>
      <c r="K13" s="8" t="s">
        <v>1052</v>
      </c>
      <c r="M13" s="35">
        <v>0.02</v>
      </c>
      <c r="S13" t="s">
        <v>1144</v>
      </c>
      <c r="T13" s="11" t="s">
        <v>1145</v>
      </c>
      <c r="U13" s="11" t="s">
        <v>731</v>
      </c>
      <c r="V13" s="11" t="s">
        <v>3399</v>
      </c>
      <c r="W13" s="54">
        <f>INDEX([1]ACOMPANHAMENTO!H:H,MATCH(A13,[1]ACOMPANHAMENTO!A:A,0))</f>
        <v>45717</v>
      </c>
      <c r="X13" s="11">
        <f t="shared" ca="1" si="0"/>
        <v>-216</v>
      </c>
    </row>
    <row r="14" spans="1:24" x14ac:dyDescent="0.3">
      <c r="A14" s="5">
        <v>14</v>
      </c>
      <c r="B14" s="21">
        <v>1</v>
      </c>
      <c r="C14" s="3" t="s">
        <v>2</v>
      </c>
      <c r="D14" s="4" t="s">
        <v>20</v>
      </c>
      <c r="E14" s="11" t="s">
        <v>2827</v>
      </c>
      <c r="F14" s="18" t="s">
        <v>704</v>
      </c>
      <c r="G14" s="3" t="s">
        <v>1</v>
      </c>
      <c r="H14" s="4" t="s">
        <v>257</v>
      </c>
      <c r="K14" s="8" t="s">
        <v>1052</v>
      </c>
      <c r="M14" s="35">
        <v>0.02</v>
      </c>
      <c r="N14" s="32">
        <v>0.05</v>
      </c>
      <c r="O14" s="32">
        <v>0.1</v>
      </c>
      <c r="P14" s="32">
        <v>0.15</v>
      </c>
      <c r="S14" t="s">
        <v>1138</v>
      </c>
      <c r="T14" s="11" t="s">
        <v>1135</v>
      </c>
      <c r="U14" s="11" t="s">
        <v>704</v>
      </c>
      <c r="V14" s="11" t="s">
        <v>3191</v>
      </c>
      <c r="W14" s="54">
        <f>INDEX([1]ACOMPANHAMENTO!H:H,MATCH(A14,[1]ACOMPANHAMENTO!A:A,0))</f>
        <v>45809</v>
      </c>
      <c r="X14" s="11">
        <f t="shared" ca="1" si="0"/>
        <v>-124</v>
      </c>
    </row>
    <row r="15" spans="1:24" x14ac:dyDescent="0.3">
      <c r="A15" s="5">
        <v>15</v>
      </c>
      <c r="B15" s="21">
        <v>136</v>
      </c>
      <c r="C15" s="3" t="s">
        <v>18</v>
      </c>
      <c r="D15" s="4" t="s">
        <v>302</v>
      </c>
      <c r="E15" s="11" t="s">
        <v>2827</v>
      </c>
      <c r="F15" s="18" t="s">
        <v>544</v>
      </c>
      <c r="G15" s="3" t="s">
        <v>3</v>
      </c>
      <c r="H15" s="4" t="s">
        <v>7</v>
      </c>
      <c r="K15" s="8" t="s">
        <v>1052</v>
      </c>
      <c r="M15" s="35">
        <v>0.02</v>
      </c>
      <c r="S15" t="s">
        <v>1146</v>
      </c>
      <c r="T15" s="11" t="s">
        <v>1147</v>
      </c>
      <c r="U15" s="11" t="s">
        <v>559</v>
      </c>
      <c r="V15" s="11" t="s">
        <v>3015</v>
      </c>
      <c r="W15" s="54">
        <f>INDEX([1]ACOMPANHAMENTO!H:H,MATCH(A15,[1]ACOMPANHAMENTO!A:A,0))</f>
        <v>45778</v>
      </c>
      <c r="X15" s="11">
        <f t="shared" ca="1" si="0"/>
        <v>-155</v>
      </c>
    </row>
    <row r="16" spans="1:24" x14ac:dyDescent="0.3">
      <c r="A16" s="5">
        <v>16</v>
      </c>
      <c r="B16" s="21">
        <v>8</v>
      </c>
      <c r="C16" s="3" t="s">
        <v>13</v>
      </c>
      <c r="D16" s="4" t="s">
        <v>299</v>
      </c>
      <c r="E16" s="11" t="s">
        <v>2827</v>
      </c>
      <c r="F16" s="18" t="s">
        <v>545</v>
      </c>
      <c r="G16" s="3" t="s">
        <v>12</v>
      </c>
      <c r="H16" s="4" t="s">
        <v>298</v>
      </c>
      <c r="K16" s="8" t="s">
        <v>1052</v>
      </c>
      <c r="M16" s="35">
        <v>0.03</v>
      </c>
      <c r="S16" t="s">
        <v>1143</v>
      </c>
      <c r="T16" s="11" t="s">
        <v>1142</v>
      </c>
      <c r="U16" s="11" t="s">
        <v>3589</v>
      </c>
      <c r="V16" s="11" t="s">
        <v>3400</v>
      </c>
      <c r="W16" s="54">
        <f>INDEX([1]ACOMPANHAMENTO!H:H,MATCH(A16,[1]ACOMPANHAMENTO!A:A,0))</f>
        <v>45717</v>
      </c>
      <c r="X16" s="11">
        <f t="shared" ca="1" si="0"/>
        <v>-216</v>
      </c>
    </row>
    <row r="17" spans="1:24" x14ac:dyDescent="0.3">
      <c r="A17" s="5">
        <v>17</v>
      </c>
      <c r="B17" s="21">
        <v>16</v>
      </c>
      <c r="C17" s="3" t="s">
        <v>18</v>
      </c>
      <c r="D17" s="4" t="s">
        <v>302</v>
      </c>
      <c r="E17" s="11" t="s">
        <v>2827</v>
      </c>
      <c r="F17" s="18" t="s">
        <v>546</v>
      </c>
      <c r="G17" s="3" t="s">
        <v>3</v>
      </c>
      <c r="H17" s="4" t="s">
        <v>7</v>
      </c>
      <c r="K17" s="8" t="s">
        <v>1052</v>
      </c>
      <c r="M17" s="35">
        <v>0.02</v>
      </c>
      <c r="S17" t="s">
        <v>1148</v>
      </c>
      <c r="T17" s="11" t="s">
        <v>1147</v>
      </c>
      <c r="U17" s="11" t="s">
        <v>559</v>
      </c>
      <c r="V17" s="11" t="s">
        <v>3401</v>
      </c>
      <c r="W17" s="54">
        <f>INDEX([1]ACOMPANHAMENTO!H:H,MATCH(A17,[1]ACOMPANHAMENTO!A:A,0))</f>
        <v>45778</v>
      </c>
      <c r="X17" s="11">
        <f t="shared" ca="1" si="0"/>
        <v>-155</v>
      </c>
    </row>
    <row r="18" spans="1:24" x14ac:dyDescent="0.3">
      <c r="A18" s="5">
        <v>18</v>
      </c>
      <c r="B18" s="21">
        <v>248</v>
      </c>
      <c r="C18" s="3" t="s">
        <v>6</v>
      </c>
      <c r="D18" s="4" t="s">
        <v>430</v>
      </c>
      <c r="E18" s="11" t="s">
        <v>2827</v>
      </c>
      <c r="F18" s="18" t="s">
        <v>547</v>
      </c>
      <c r="G18" s="3" t="s">
        <v>3</v>
      </c>
      <c r="H18" s="4" t="s">
        <v>7</v>
      </c>
      <c r="K18" s="8" t="s">
        <v>1052</v>
      </c>
      <c r="S18" t="s">
        <v>1152</v>
      </c>
      <c r="T18" s="11" t="s">
        <v>1172</v>
      </c>
      <c r="U18" s="11" t="s">
        <v>3622</v>
      </c>
      <c r="V18" s="11" t="s">
        <v>2937</v>
      </c>
      <c r="W18" s="54">
        <f>INDEX([1]ACOMPANHAMENTO!H:H,MATCH(A18,[1]ACOMPANHAMENTO!A:A,0))</f>
        <v>45413</v>
      </c>
      <c r="X18" s="11">
        <f t="shared" ca="1" si="0"/>
        <v>-520</v>
      </c>
    </row>
    <row r="19" spans="1:24" x14ac:dyDescent="0.3">
      <c r="A19" s="5">
        <v>19</v>
      </c>
      <c r="B19" s="21">
        <v>8</v>
      </c>
      <c r="C19" s="3" t="s">
        <v>13</v>
      </c>
      <c r="D19" s="4" t="s">
        <v>299</v>
      </c>
      <c r="E19" s="11" t="s">
        <v>2827</v>
      </c>
      <c r="F19" s="18" t="s">
        <v>548</v>
      </c>
      <c r="G19" s="3" t="s">
        <v>12</v>
      </c>
      <c r="H19" s="4" t="s">
        <v>298</v>
      </c>
      <c r="K19" s="8" t="s">
        <v>1052</v>
      </c>
      <c r="M19" s="35">
        <v>0.03</v>
      </c>
      <c r="S19" t="s">
        <v>1143</v>
      </c>
      <c r="T19" s="11" t="s">
        <v>1142</v>
      </c>
      <c r="U19" s="11" t="s">
        <v>3589</v>
      </c>
      <c r="V19" s="11" t="s">
        <v>3264</v>
      </c>
      <c r="W19" s="54">
        <f>INDEX([1]ACOMPANHAMENTO!H:H,MATCH(A19,[1]ACOMPANHAMENTO!A:A,0))</f>
        <v>45717</v>
      </c>
      <c r="X19" s="11">
        <f t="shared" ca="1" si="0"/>
        <v>-216</v>
      </c>
    </row>
    <row r="20" spans="1:24" x14ac:dyDescent="0.3">
      <c r="A20" s="5">
        <v>20</v>
      </c>
      <c r="B20" s="21">
        <v>54</v>
      </c>
      <c r="C20" s="3" t="s">
        <v>18</v>
      </c>
      <c r="D20" s="4" t="s">
        <v>302</v>
      </c>
      <c r="E20" s="11" t="s">
        <v>2827</v>
      </c>
      <c r="F20" s="18" t="s">
        <v>559</v>
      </c>
      <c r="G20" s="3" t="s">
        <v>19</v>
      </c>
      <c r="H20" s="4" t="s">
        <v>303</v>
      </c>
      <c r="K20" s="8" t="s">
        <v>1052</v>
      </c>
      <c r="M20" s="35">
        <v>0.02</v>
      </c>
      <c r="S20" t="s">
        <v>1154</v>
      </c>
      <c r="T20" s="11" t="s">
        <v>1155</v>
      </c>
      <c r="U20" s="11" t="s">
        <v>559</v>
      </c>
      <c r="V20" s="11" t="s">
        <v>3402</v>
      </c>
      <c r="W20" s="54">
        <f>INDEX([1]ACOMPANHAMENTO!H:H,MATCH(A20,[1]ACOMPANHAMENTO!A:A,0))</f>
        <v>45717</v>
      </c>
      <c r="X20" s="11">
        <f t="shared" ca="1" si="0"/>
        <v>-216</v>
      </c>
    </row>
    <row r="21" spans="1:24" x14ac:dyDescent="0.3">
      <c r="A21" s="5">
        <v>21</v>
      </c>
      <c r="B21" s="21">
        <v>1</v>
      </c>
      <c r="C21" s="3" t="s">
        <v>2</v>
      </c>
      <c r="D21" s="4" t="s">
        <v>20</v>
      </c>
      <c r="E21" s="11" t="s">
        <v>2827</v>
      </c>
      <c r="F21" s="18" t="s">
        <v>704</v>
      </c>
      <c r="G21" s="3" t="s">
        <v>1</v>
      </c>
      <c r="H21" s="4" t="s">
        <v>257</v>
      </c>
      <c r="K21" s="8" t="s">
        <v>1052</v>
      </c>
      <c r="M21" s="35">
        <v>0.02</v>
      </c>
      <c r="N21" s="32">
        <v>0.05</v>
      </c>
      <c r="O21" s="32">
        <v>0.1</v>
      </c>
      <c r="P21" s="32">
        <v>0.15</v>
      </c>
      <c r="S21" t="s">
        <v>1138</v>
      </c>
      <c r="T21" s="11" t="s">
        <v>1135</v>
      </c>
      <c r="U21" s="11" t="s">
        <v>704</v>
      </c>
      <c r="V21" s="11" t="s">
        <v>3191</v>
      </c>
      <c r="W21" s="54">
        <f>INDEX([1]ACOMPANHAMENTO!H:H,MATCH(A21,[1]ACOMPANHAMENTO!A:A,0))</f>
        <v>45809</v>
      </c>
      <c r="X21" s="11">
        <f t="shared" ca="1" si="0"/>
        <v>-124</v>
      </c>
    </row>
    <row r="22" spans="1:24" x14ac:dyDescent="0.3">
      <c r="A22" s="5">
        <v>22</v>
      </c>
      <c r="B22" s="21">
        <v>9</v>
      </c>
      <c r="C22" s="3" t="s">
        <v>11</v>
      </c>
      <c r="D22" s="4" t="s">
        <v>297</v>
      </c>
      <c r="E22" s="11" t="s">
        <v>2827</v>
      </c>
      <c r="F22" s="18" t="s">
        <v>549</v>
      </c>
      <c r="G22" s="3" t="s">
        <v>10</v>
      </c>
      <c r="H22" s="4" t="s">
        <v>296</v>
      </c>
      <c r="K22" s="8" t="s">
        <v>1055</v>
      </c>
      <c r="M22" s="35">
        <v>0.03</v>
      </c>
      <c r="S22" t="s">
        <v>1141</v>
      </c>
      <c r="T22" s="11" t="s">
        <v>1151</v>
      </c>
      <c r="U22" s="11" t="s">
        <v>3588</v>
      </c>
      <c r="V22" s="11" t="s">
        <v>3403</v>
      </c>
      <c r="W22" s="54">
        <f>INDEX([1]ACOMPANHAMENTO!H:H,MATCH(A22,[1]ACOMPANHAMENTO!A:A,0))</f>
        <v>46082</v>
      </c>
      <c r="X22" s="11">
        <f t="shared" ca="1" si="0"/>
        <v>149</v>
      </c>
    </row>
    <row r="23" spans="1:24" x14ac:dyDescent="0.3">
      <c r="A23" s="5">
        <v>23</v>
      </c>
      <c r="B23" s="21">
        <v>19</v>
      </c>
      <c r="C23" s="3" t="s">
        <v>21</v>
      </c>
      <c r="D23" s="4" t="s">
        <v>304</v>
      </c>
      <c r="E23" s="11" t="s">
        <v>2827</v>
      </c>
      <c r="F23" s="18" t="s">
        <v>550</v>
      </c>
      <c r="G23" s="3" t="s">
        <v>3</v>
      </c>
      <c r="H23" s="4" t="s">
        <v>7</v>
      </c>
      <c r="K23" s="8" t="s">
        <v>1052</v>
      </c>
      <c r="Q23" s="11" t="s">
        <v>1056</v>
      </c>
      <c r="S23" t="s">
        <v>1156</v>
      </c>
      <c r="T23" s="11" t="s">
        <v>1157</v>
      </c>
      <c r="U23" s="11" t="s">
        <v>550</v>
      </c>
      <c r="V23" s="11" t="s">
        <v>3404</v>
      </c>
      <c r="W23" s="54">
        <f>INDEX([1]ACOMPANHAMENTO!H:H,MATCH(A23,[1]ACOMPANHAMENTO!A:A,0))</f>
        <v>45778</v>
      </c>
      <c r="X23" s="11">
        <f t="shared" ca="1" si="0"/>
        <v>-155</v>
      </c>
    </row>
    <row r="24" spans="1:24" x14ac:dyDescent="0.3">
      <c r="A24" s="5">
        <v>24</v>
      </c>
      <c r="B24" s="21">
        <v>2</v>
      </c>
      <c r="C24" s="3" t="s">
        <v>9</v>
      </c>
      <c r="D24" s="4" t="s">
        <v>295</v>
      </c>
      <c r="E24" s="11" t="s">
        <v>2827</v>
      </c>
      <c r="F24" s="18" t="s">
        <v>770</v>
      </c>
      <c r="G24" s="3" t="s">
        <v>8</v>
      </c>
      <c r="H24" s="4" t="s">
        <v>294</v>
      </c>
      <c r="K24" s="8" t="s">
        <v>1052</v>
      </c>
      <c r="M24" s="35">
        <v>4.4999999999999998E-2</v>
      </c>
      <c r="S24" t="s">
        <v>1139</v>
      </c>
      <c r="T24" s="11" t="s">
        <v>1140</v>
      </c>
      <c r="U24" s="11" t="s">
        <v>3587</v>
      </c>
      <c r="V24" s="11" t="s">
        <v>3405</v>
      </c>
      <c r="W24" s="54">
        <f>INDEX([1]ACOMPANHAMENTO!H:H,MATCH(A24,[1]ACOMPANHAMENTO!A:A,0))</f>
        <v>45689</v>
      </c>
      <c r="X24" s="11">
        <f t="shared" ca="1" si="0"/>
        <v>-244</v>
      </c>
    </row>
    <row r="25" spans="1:24" x14ac:dyDescent="0.3">
      <c r="A25" s="5">
        <v>25</v>
      </c>
      <c r="B25" s="21">
        <v>13</v>
      </c>
      <c r="C25" s="3" t="s">
        <v>23</v>
      </c>
      <c r="D25" s="4" t="s">
        <v>24</v>
      </c>
      <c r="E25" s="11" t="s">
        <v>2827</v>
      </c>
      <c r="F25" s="18" t="s">
        <v>551</v>
      </c>
      <c r="G25" s="3" t="s">
        <v>22</v>
      </c>
      <c r="H25" s="4" t="s">
        <v>305</v>
      </c>
      <c r="K25" s="8" t="s">
        <v>1052</v>
      </c>
      <c r="M25" s="35">
        <v>0.02</v>
      </c>
      <c r="S25" t="s">
        <v>1159</v>
      </c>
      <c r="T25" s="11" t="s">
        <v>1158</v>
      </c>
      <c r="U25" s="11" t="s">
        <v>3590</v>
      </c>
      <c r="V25" s="11" t="s">
        <v>3406</v>
      </c>
      <c r="W25" s="54">
        <f>INDEX([1]ACOMPANHAMENTO!H:H,MATCH(A25,[1]ACOMPANHAMENTO!A:A,0))</f>
        <v>45717</v>
      </c>
      <c r="X25" s="11">
        <f t="shared" ca="1" si="0"/>
        <v>-216</v>
      </c>
    </row>
    <row r="26" spans="1:24" x14ac:dyDescent="0.3">
      <c r="A26" s="5">
        <v>26</v>
      </c>
      <c r="B26" s="21">
        <v>54</v>
      </c>
      <c r="C26" s="3" t="s">
        <v>18</v>
      </c>
      <c r="D26" s="4" t="s">
        <v>302</v>
      </c>
      <c r="E26" s="11" t="s">
        <v>2827</v>
      </c>
      <c r="F26" s="18" t="s">
        <v>552</v>
      </c>
      <c r="G26" s="3" t="s">
        <v>19</v>
      </c>
      <c r="H26" s="4" t="s">
        <v>303</v>
      </c>
      <c r="K26" s="8" t="s">
        <v>1052</v>
      </c>
      <c r="M26" s="35">
        <v>0.02</v>
      </c>
      <c r="S26" t="s">
        <v>1154</v>
      </c>
      <c r="T26" s="11" t="s">
        <v>1155</v>
      </c>
      <c r="U26" s="11" t="s">
        <v>559</v>
      </c>
      <c r="V26" s="11" t="s">
        <v>3200</v>
      </c>
      <c r="W26" s="54">
        <f>INDEX([1]ACOMPANHAMENTO!H:H,MATCH(A26,[1]ACOMPANHAMENTO!A:A,0))</f>
        <v>45717</v>
      </c>
      <c r="X26" s="11">
        <f t="shared" ca="1" si="0"/>
        <v>-216</v>
      </c>
    </row>
    <row r="27" spans="1:24" x14ac:dyDescent="0.3">
      <c r="A27" s="5">
        <v>27</v>
      </c>
      <c r="B27" s="21">
        <v>146</v>
      </c>
      <c r="C27" s="3" t="s">
        <v>26</v>
      </c>
      <c r="D27" s="4" t="s">
        <v>306</v>
      </c>
      <c r="E27" s="11" t="s">
        <v>2827</v>
      </c>
      <c r="F27" s="18" t="s">
        <v>1033</v>
      </c>
      <c r="G27" s="3" t="s">
        <v>25</v>
      </c>
      <c r="H27" s="4" t="s">
        <v>431</v>
      </c>
      <c r="K27" s="8" t="s">
        <v>1052</v>
      </c>
      <c r="S27" t="s">
        <v>1160</v>
      </c>
      <c r="T27" s="11" t="s">
        <v>1161</v>
      </c>
      <c r="U27" s="18" t="s">
        <v>698</v>
      </c>
      <c r="V27" s="18" t="s">
        <v>3581</v>
      </c>
      <c r="W27" s="54">
        <f>INDEX([1]ACOMPANHAMENTO!H:H,MATCH(A27,[1]ACOMPANHAMENTO!A:A,0))</f>
        <v>45778</v>
      </c>
      <c r="X27" s="11">
        <f t="shared" ca="1" si="0"/>
        <v>-155</v>
      </c>
    </row>
    <row r="28" spans="1:24" x14ac:dyDescent="0.3">
      <c r="A28" s="5">
        <v>29</v>
      </c>
      <c r="B28" s="21">
        <v>62</v>
      </c>
      <c r="C28" s="3" t="s">
        <v>9</v>
      </c>
      <c r="D28" s="4" t="s">
        <v>295</v>
      </c>
      <c r="E28" s="11" t="s">
        <v>2827</v>
      </c>
      <c r="F28" s="18" t="s">
        <v>553</v>
      </c>
      <c r="G28" s="3" t="s">
        <v>8</v>
      </c>
      <c r="H28" s="4" t="s">
        <v>294</v>
      </c>
      <c r="K28" s="8" t="s">
        <v>1052</v>
      </c>
      <c r="M28" s="35">
        <v>4.4999999999999998E-2</v>
      </c>
      <c r="S28" t="s">
        <v>1162</v>
      </c>
      <c r="T28" s="11" t="s">
        <v>1140</v>
      </c>
      <c r="U28" s="11" t="s">
        <v>3587</v>
      </c>
      <c r="V28" s="11" t="s">
        <v>3407</v>
      </c>
      <c r="W28" s="54">
        <f>INDEX([1]ACOMPANHAMENTO!H:H,MATCH(A28,[1]ACOMPANHAMENTO!A:A,0))</f>
        <v>45689</v>
      </c>
      <c r="X28" s="11">
        <f t="shared" ca="1" si="0"/>
        <v>-244</v>
      </c>
    </row>
    <row r="29" spans="1:24" x14ac:dyDescent="0.3">
      <c r="A29" s="5">
        <v>30</v>
      </c>
      <c r="B29" s="21">
        <v>7</v>
      </c>
      <c r="C29" s="3" t="s">
        <v>28</v>
      </c>
      <c r="D29" s="4" t="s">
        <v>308</v>
      </c>
      <c r="E29" s="11" t="s">
        <v>2827</v>
      </c>
      <c r="F29" s="18" t="s">
        <v>944</v>
      </c>
      <c r="G29" s="3" t="s">
        <v>27</v>
      </c>
      <c r="H29" s="4" t="s">
        <v>307</v>
      </c>
      <c r="K29" s="8" t="s">
        <v>1052</v>
      </c>
      <c r="M29" s="35">
        <v>0.05</v>
      </c>
      <c r="S29" t="s">
        <v>1163</v>
      </c>
      <c r="T29" s="11" t="s">
        <v>1487</v>
      </c>
      <c r="U29" s="11" t="s">
        <v>944</v>
      </c>
      <c r="V29" s="11" t="s">
        <v>2948</v>
      </c>
      <c r="W29" s="54">
        <f>INDEX([1]ACOMPANHAMENTO!H:H,MATCH(A29,[1]ACOMPANHAMENTO!A:A,0))</f>
        <v>45870</v>
      </c>
      <c r="X29" s="11">
        <f t="shared" ca="1" si="0"/>
        <v>-63</v>
      </c>
    </row>
    <row r="30" spans="1:24" x14ac:dyDescent="0.3">
      <c r="A30" s="5">
        <v>31</v>
      </c>
      <c r="B30" s="21">
        <v>6</v>
      </c>
      <c r="C30" s="3" t="s">
        <v>6</v>
      </c>
      <c r="D30" s="4" t="s">
        <v>430</v>
      </c>
      <c r="E30" s="11" t="s">
        <v>2156</v>
      </c>
      <c r="F30" s="18" t="s">
        <v>554</v>
      </c>
      <c r="G30" s="3" t="s">
        <v>29</v>
      </c>
      <c r="H30" s="4" t="s">
        <v>309</v>
      </c>
      <c r="K30" s="8" t="s">
        <v>1052</v>
      </c>
      <c r="S30" t="s">
        <v>1164</v>
      </c>
      <c r="T30" s="11" t="s">
        <v>1165</v>
      </c>
      <c r="U30" s="11" t="s">
        <v>554</v>
      </c>
      <c r="V30" s="11" t="s">
        <v>2509</v>
      </c>
      <c r="W30" s="54">
        <f>INDEX([1]ACOMPANHAMENTO!H:H,MATCH(A30,[1]ACOMPANHAMENTO!A:A,0))</f>
        <v>45047</v>
      </c>
      <c r="X30" s="11">
        <f t="shared" ca="1" si="0"/>
        <v>-886</v>
      </c>
    </row>
    <row r="31" spans="1:24" x14ac:dyDescent="0.3">
      <c r="A31" s="5">
        <v>34</v>
      </c>
      <c r="B31" s="21">
        <v>18</v>
      </c>
      <c r="C31" s="3" t="s">
        <v>2</v>
      </c>
      <c r="D31" s="4" t="s">
        <v>20</v>
      </c>
      <c r="E31" s="11" t="s">
        <v>2827</v>
      </c>
      <c r="F31" s="18" t="s">
        <v>555</v>
      </c>
      <c r="G31" s="3" t="s">
        <v>1</v>
      </c>
      <c r="H31" s="4" t="s">
        <v>257</v>
      </c>
      <c r="K31" s="8" t="s">
        <v>1052</v>
      </c>
      <c r="M31" s="35">
        <v>0.02</v>
      </c>
      <c r="N31" s="32">
        <v>0.04</v>
      </c>
      <c r="O31" s="32">
        <v>0.08</v>
      </c>
      <c r="P31" s="32">
        <v>0.12</v>
      </c>
      <c r="S31" t="s">
        <v>1138</v>
      </c>
      <c r="T31" s="11" t="s">
        <v>1135</v>
      </c>
      <c r="U31" s="11" t="s">
        <v>704</v>
      </c>
      <c r="V31" s="11" t="s">
        <v>3408</v>
      </c>
      <c r="W31" s="54">
        <f>INDEX([1]ACOMPANHAMENTO!H:H,MATCH(A31,[1]ACOMPANHAMENTO!A:A,0))</f>
        <v>45809</v>
      </c>
      <c r="X31" s="11">
        <f t="shared" ca="1" si="0"/>
        <v>-124</v>
      </c>
    </row>
    <row r="32" spans="1:24" x14ac:dyDescent="0.3">
      <c r="A32" s="5">
        <v>35</v>
      </c>
      <c r="B32" s="21">
        <v>41</v>
      </c>
      <c r="C32" s="3" t="s">
        <v>26</v>
      </c>
      <c r="D32" s="4" t="s">
        <v>306</v>
      </c>
      <c r="E32" s="11" t="s">
        <v>2827</v>
      </c>
      <c r="F32" s="18" t="s">
        <v>556</v>
      </c>
      <c r="G32" s="3" t="s">
        <v>30</v>
      </c>
      <c r="H32" s="4" t="s">
        <v>310</v>
      </c>
      <c r="K32" s="8" t="s">
        <v>1052</v>
      </c>
      <c r="S32" t="s">
        <v>1166</v>
      </c>
      <c r="T32" s="11" t="s">
        <v>1167</v>
      </c>
      <c r="U32" s="11" t="s">
        <v>698</v>
      </c>
      <c r="V32" s="11" t="s">
        <v>3258</v>
      </c>
      <c r="W32" s="54">
        <f>INDEX([1]ACOMPANHAMENTO!H:H,MATCH(A32,[1]ACOMPANHAMENTO!A:A,0))</f>
        <v>45413</v>
      </c>
      <c r="X32" s="11">
        <f t="shared" ca="1" si="0"/>
        <v>-520</v>
      </c>
    </row>
    <row r="33" spans="1:24" x14ac:dyDescent="0.3">
      <c r="A33" s="5">
        <v>36</v>
      </c>
      <c r="B33" s="21">
        <v>245</v>
      </c>
      <c r="C33" s="3" t="s">
        <v>16</v>
      </c>
      <c r="D33" s="4" t="s">
        <v>300</v>
      </c>
      <c r="E33" s="11" t="s">
        <v>2827</v>
      </c>
      <c r="F33" s="18" t="s">
        <v>722</v>
      </c>
      <c r="G33" s="3" t="s">
        <v>3</v>
      </c>
      <c r="H33" s="4" t="s">
        <v>7</v>
      </c>
      <c r="K33" s="8" t="s">
        <v>1059</v>
      </c>
      <c r="M33" s="35">
        <v>0.03</v>
      </c>
      <c r="S33" t="s">
        <v>1168</v>
      </c>
      <c r="T33" s="11" t="s">
        <v>1169</v>
      </c>
      <c r="U33" s="11" t="s">
        <v>731</v>
      </c>
      <c r="V33" s="11" t="s">
        <v>3036</v>
      </c>
      <c r="W33" s="54">
        <f>INDEX([1]ACOMPANHAMENTO!H:H,MATCH(A33,[1]ACOMPANHAMENTO!A:A,0))</f>
        <v>45717</v>
      </c>
      <c r="X33" s="11">
        <f t="shared" ca="1" si="0"/>
        <v>-216</v>
      </c>
    </row>
    <row r="34" spans="1:24" x14ac:dyDescent="0.3">
      <c r="A34" s="5">
        <v>37</v>
      </c>
      <c r="B34" s="21">
        <v>105</v>
      </c>
      <c r="C34" s="3" t="s">
        <v>31</v>
      </c>
      <c r="D34" s="4" t="s">
        <v>32</v>
      </c>
      <c r="E34" s="11" t="s">
        <v>2827</v>
      </c>
      <c r="F34" s="18" t="s">
        <v>557</v>
      </c>
      <c r="G34" s="3" t="s">
        <v>22</v>
      </c>
      <c r="H34" s="4" t="s">
        <v>305</v>
      </c>
      <c r="K34" s="8" t="s">
        <v>1052</v>
      </c>
      <c r="M34" s="35">
        <v>0.02</v>
      </c>
      <c r="S34" t="s">
        <v>1170</v>
      </c>
      <c r="T34" s="11" t="s">
        <v>1171</v>
      </c>
      <c r="U34" s="11" t="s">
        <v>557</v>
      </c>
      <c r="V34" s="11" t="s">
        <v>2996</v>
      </c>
      <c r="W34" s="54">
        <f>INDEX([1]ACOMPANHAMENTO!H:H,MATCH(A34,[1]ACOMPANHAMENTO!A:A,0))</f>
        <v>45717</v>
      </c>
      <c r="X34" s="11">
        <f t="shared" ca="1" si="0"/>
        <v>-216</v>
      </c>
    </row>
    <row r="35" spans="1:24" x14ac:dyDescent="0.3">
      <c r="A35" s="5">
        <v>38</v>
      </c>
      <c r="B35" s="21">
        <v>53</v>
      </c>
      <c r="C35" s="3" t="s">
        <v>6</v>
      </c>
      <c r="D35" s="4" t="s">
        <v>430</v>
      </c>
      <c r="E35" s="11" t="s">
        <v>2827</v>
      </c>
      <c r="F35" s="18" t="s">
        <v>558</v>
      </c>
      <c r="G35" s="3" t="s">
        <v>3</v>
      </c>
      <c r="H35" s="4" t="s">
        <v>7</v>
      </c>
      <c r="K35" s="8"/>
      <c r="S35" t="s">
        <v>1164</v>
      </c>
      <c r="T35" s="11" t="s">
        <v>1172</v>
      </c>
      <c r="U35" s="11" t="s">
        <v>695</v>
      </c>
      <c r="V35" s="11" t="s">
        <v>3409</v>
      </c>
      <c r="W35" s="54">
        <f>INDEX([1]ACOMPANHAMENTO!H:H,MATCH(A35,[1]ACOMPANHAMENTO!A:A,0))</f>
        <v>44986</v>
      </c>
      <c r="X35" s="11">
        <f t="shared" ca="1" si="0"/>
        <v>-947</v>
      </c>
    </row>
    <row r="36" spans="1:24" x14ac:dyDescent="0.3">
      <c r="A36" s="5">
        <v>39</v>
      </c>
      <c r="B36" s="21">
        <v>54</v>
      </c>
      <c r="C36" s="3" t="s">
        <v>18</v>
      </c>
      <c r="D36" s="4" t="s">
        <v>302</v>
      </c>
      <c r="E36" s="11" t="s">
        <v>2827</v>
      </c>
      <c r="F36" s="18" t="s">
        <v>559</v>
      </c>
      <c r="G36" s="3" t="s">
        <v>19</v>
      </c>
      <c r="H36" s="4" t="s">
        <v>303</v>
      </c>
      <c r="K36" s="8" t="s">
        <v>1052</v>
      </c>
      <c r="M36" s="35">
        <v>0.02</v>
      </c>
      <c r="S36" t="s">
        <v>1154</v>
      </c>
      <c r="T36" s="11" t="s">
        <v>1155</v>
      </c>
      <c r="U36" s="11" t="s">
        <v>559</v>
      </c>
      <c r="V36" s="11" t="s">
        <v>3402</v>
      </c>
      <c r="W36" s="54">
        <f>INDEX([1]ACOMPANHAMENTO!H:H,MATCH(A36,[1]ACOMPANHAMENTO!A:A,0))</f>
        <v>45717</v>
      </c>
      <c r="X36" s="11">
        <f t="shared" ca="1" si="0"/>
        <v>-216</v>
      </c>
    </row>
    <row r="37" spans="1:24" x14ac:dyDescent="0.3">
      <c r="A37" s="5">
        <v>40</v>
      </c>
      <c r="B37" s="21">
        <v>30</v>
      </c>
      <c r="C37" s="3" t="s">
        <v>35</v>
      </c>
      <c r="D37" s="4" t="s">
        <v>311</v>
      </c>
      <c r="E37" s="11" t="s">
        <v>2548</v>
      </c>
      <c r="F37" s="18" t="s">
        <v>560</v>
      </c>
      <c r="G37" s="3" t="s">
        <v>33</v>
      </c>
      <c r="H37" s="4" t="s">
        <v>34</v>
      </c>
      <c r="K37" s="8" t="s">
        <v>1060</v>
      </c>
      <c r="S37" t="s">
        <v>1173</v>
      </c>
      <c r="T37" s="11" t="s">
        <v>1485</v>
      </c>
      <c r="U37" s="11" t="s">
        <v>560</v>
      </c>
      <c r="V37" s="11" t="s">
        <v>3410</v>
      </c>
      <c r="W37" s="54">
        <f>INDEX([1]ACOMPANHAMENTO!H:H,MATCH(A37,[1]ACOMPANHAMENTO!A:A,0))</f>
        <v>45962</v>
      </c>
      <c r="X37" s="11">
        <f t="shared" ca="1" si="0"/>
        <v>29</v>
      </c>
    </row>
    <row r="38" spans="1:24" x14ac:dyDescent="0.3">
      <c r="A38" s="5">
        <v>41</v>
      </c>
      <c r="B38" s="21">
        <v>54</v>
      </c>
      <c r="C38" s="3" t="s">
        <v>18</v>
      </c>
      <c r="D38" s="4" t="s">
        <v>302</v>
      </c>
      <c r="E38" s="11" t="s">
        <v>2548</v>
      </c>
      <c r="F38" s="18" t="s">
        <v>561</v>
      </c>
      <c r="G38" s="3" t="s">
        <v>19</v>
      </c>
      <c r="H38" s="4" t="s">
        <v>303</v>
      </c>
      <c r="K38" s="8" t="s">
        <v>1052</v>
      </c>
      <c r="M38" s="35">
        <v>0.02</v>
      </c>
      <c r="S38" t="s">
        <v>1154</v>
      </c>
      <c r="T38" s="11" t="s">
        <v>1155</v>
      </c>
      <c r="U38" s="11" t="s">
        <v>559</v>
      </c>
      <c r="V38" s="11" t="s">
        <v>3411</v>
      </c>
      <c r="W38" s="54">
        <f>INDEX([1]ACOMPANHAMENTO!H:H,MATCH(A38,[1]ACOMPANHAMENTO!A:A,0))</f>
        <v>45717</v>
      </c>
      <c r="X38" s="11">
        <f t="shared" ca="1" si="0"/>
        <v>-216</v>
      </c>
    </row>
    <row r="39" spans="1:24" x14ac:dyDescent="0.3">
      <c r="A39" s="5">
        <v>43</v>
      </c>
      <c r="B39" s="21">
        <v>40</v>
      </c>
      <c r="C39" s="3" t="s">
        <v>36</v>
      </c>
      <c r="D39" s="4" t="s">
        <v>312</v>
      </c>
      <c r="E39" s="11" t="s">
        <v>2827</v>
      </c>
      <c r="F39" s="18" t="s">
        <v>701</v>
      </c>
      <c r="G39" s="3" t="s">
        <v>37</v>
      </c>
      <c r="H39" s="4" t="s">
        <v>313</v>
      </c>
      <c r="K39" s="8" t="s">
        <v>1052</v>
      </c>
      <c r="L39" s="32">
        <v>0.02</v>
      </c>
      <c r="S39" t="s">
        <v>1175</v>
      </c>
      <c r="T39" s="11" t="s">
        <v>1174</v>
      </c>
      <c r="U39" s="11" t="s">
        <v>701</v>
      </c>
      <c r="V39" s="11" t="s">
        <v>3292</v>
      </c>
      <c r="W39" s="54">
        <f>INDEX([1]ACOMPANHAMENTO!H:H,MATCH(A39,[1]ACOMPANHAMENTO!A:A,0))</f>
        <v>45962</v>
      </c>
      <c r="X39" s="11">
        <f t="shared" ca="1" si="0"/>
        <v>29</v>
      </c>
    </row>
    <row r="40" spans="1:24" x14ac:dyDescent="0.3">
      <c r="A40" s="5">
        <v>44</v>
      </c>
      <c r="B40" s="21">
        <v>39</v>
      </c>
      <c r="C40" s="3" t="s">
        <v>39</v>
      </c>
      <c r="D40" s="4" t="s">
        <v>315</v>
      </c>
      <c r="E40" s="11" t="s">
        <v>2827</v>
      </c>
      <c r="F40" s="18" t="s">
        <v>675</v>
      </c>
      <c r="G40" s="3" t="s">
        <v>38</v>
      </c>
      <c r="H40" s="4" t="s">
        <v>314</v>
      </c>
      <c r="K40" s="8" t="s">
        <v>1061</v>
      </c>
      <c r="M40" s="35">
        <v>0.03</v>
      </c>
      <c r="S40" t="s">
        <v>1176</v>
      </c>
      <c r="T40" s="11" t="s">
        <v>1177</v>
      </c>
      <c r="U40" s="11" t="s">
        <v>675</v>
      </c>
      <c r="V40" s="11" t="s">
        <v>2833</v>
      </c>
      <c r="W40" s="54">
        <f>INDEX([1]ACOMPANHAMENTO!H:H,MATCH(A40,[1]ACOMPANHAMENTO!A:A,0))</f>
        <v>45931</v>
      </c>
      <c r="X40" s="11">
        <f t="shared" ca="1" si="0"/>
        <v>-2</v>
      </c>
    </row>
    <row r="41" spans="1:24" x14ac:dyDescent="0.3">
      <c r="A41" s="5">
        <v>45</v>
      </c>
      <c r="B41" s="21">
        <v>52</v>
      </c>
      <c r="C41" s="3" t="s">
        <v>41</v>
      </c>
      <c r="D41" s="4" t="s">
        <v>317</v>
      </c>
      <c r="E41" s="11" t="s">
        <v>2827</v>
      </c>
      <c r="F41" s="18" t="s">
        <v>577</v>
      </c>
      <c r="G41" s="3" t="s">
        <v>40</v>
      </c>
      <c r="H41" s="4" t="s">
        <v>316</v>
      </c>
      <c r="K41" s="8" t="s">
        <v>1052</v>
      </c>
      <c r="M41" s="35">
        <v>0.05</v>
      </c>
      <c r="S41" t="s">
        <v>1179</v>
      </c>
      <c r="T41" s="11" t="s">
        <v>1178</v>
      </c>
      <c r="U41" s="11" t="s">
        <v>577</v>
      </c>
      <c r="V41" s="11" t="s">
        <v>3194</v>
      </c>
      <c r="W41" s="54">
        <f>INDEX([1]ACOMPANHAMENTO!H:H,MATCH(A41,[1]ACOMPANHAMENTO!A:A,0))</f>
        <v>45962</v>
      </c>
      <c r="X41" s="11">
        <f t="shared" ca="1" si="0"/>
        <v>29</v>
      </c>
    </row>
    <row r="42" spans="1:24" x14ac:dyDescent="0.3">
      <c r="A42" s="5">
        <v>46</v>
      </c>
      <c r="B42" s="21">
        <v>2</v>
      </c>
      <c r="C42" s="3" t="s">
        <v>9</v>
      </c>
      <c r="D42" s="4" t="s">
        <v>295</v>
      </c>
      <c r="E42" s="11" t="s">
        <v>2827</v>
      </c>
      <c r="F42" s="18" t="s">
        <v>770</v>
      </c>
      <c r="G42" s="3" t="s">
        <v>8</v>
      </c>
      <c r="H42" s="4" t="s">
        <v>294</v>
      </c>
      <c r="K42" s="8" t="s">
        <v>1052</v>
      </c>
      <c r="M42" s="35">
        <v>4.4999999999999998E-2</v>
      </c>
      <c r="S42" t="s">
        <v>1139</v>
      </c>
      <c r="T42" s="11" t="s">
        <v>1140</v>
      </c>
      <c r="U42" s="11" t="s">
        <v>3587</v>
      </c>
      <c r="V42" s="11" t="s">
        <v>3405</v>
      </c>
      <c r="W42" s="54">
        <f>INDEX([1]ACOMPANHAMENTO!H:H,MATCH(A42,[1]ACOMPANHAMENTO!A:A,0))</f>
        <v>45689</v>
      </c>
      <c r="X42" s="11">
        <f t="shared" ca="1" si="0"/>
        <v>-244</v>
      </c>
    </row>
    <row r="43" spans="1:24" x14ac:dyDescent="0.3">
      <c r="A43" s="5">
        <v>47</v>
      </c>
      <c r="B43" s="21">
        <v>40</v>
      </c>
      <c r="C43" s="3" t="s">
        <v>36</v>
      </c>
      <c r="D43" s="4" t="s">
        <v>312</v>
      </c>
      <c r="E43" s="11" t="s">
        <v>2827</v>
      </c>
      <c r="F43" s="18" t="s">
        <v>701</v>
      </c>
      <c r="G43" s="3" t="s">
        <v>37</v>
      </c>
      <c r="H43" s="4" t="s">
        <v>313</v>
      </c>
      <c r="K43" s="8" t="s">
        <v>1052</v>
      </c>
      <c r="L43" s="32">
        <v>0.02</v>
      </c>
      <c r="S43" t="s">
        <v>1175</v>
      </c>
      <c r="T43" s="11" t="s">
        <v>1174</v>
      </c>
      <c r="U43" s="11" t="s">
        <v>701</v>
      </c>
      <c r="V43" s="11" t="s">
        <v>3292</v>
      </c>
      <c r="W43" s="54">
        <f>INDEX([1]ACOMPANHAMENTO!H:H,MATCH(A43,[1]ACOMPANHAMENTO!A:A,0))</f>
        <v>45962</v>
      </c>
      <c r="X43" s="11">
        <f t="shared" ca="1" si="0"/>
        <v>29</v>
      </c>
    </row>
    <row r="44" spans="1:24" x14ac:dyDescent="0.3">
      <c r="A44" s="5">
        <v>48</v>
      </c>
      <c r="B44" s="21">
        <v>42</v>
      </c>
      <c r="C44" s="3" t="s">
        <v>43</v>
      </c>
      <c r="D44" s="4" t="s">
        <v>319</v>
      </c>
      <c r="E44" s="11" t="s">
        <v>2548</v>
      </c>
      <c r="F44" s="18" t="s">
        <v>683</v>
      </c>
      <c r="G44" s="3" t="s">
        <v>42</v>
      </c>
      <c r="H44" s="4" t="s">
        <v>318</v>
      </c>
      <c r="K44" s="8" t="s">
        <v>1062</v>
      </c>
      <c r="S44" t="s">
        <v>1180</v>
      </c>
      <c r="T44" s="11" t="s">
        <v>1181</v>
      </c>
      <c r="U44" s="11" t="s">
        <v>683</v>
      </c>
      <c r="V44" s="11" t="s">
        <v>3412</v>
      </c>
      <c r="W44" s="54">
        <f>INDEX([1]ACOMPANHAMENTO!H:H,MATCH(A44,[1]ACOMPANHAMENTO!A:A,0))</f>
        <v>45901</v>
      </c>
      <c r="X44" s="11">
        <f t="shared" ca="1" si="0"/>
        <v>-32</v>
      </c>
    </row>
    <row r="45" spans="1:24" x14ac:dyDescent="0.3">
      <c r="A45" s="5">
        <v>49</v>
      </c>
      <c r="B45" s="21">
        <v>38</v>
      </c>
      <c r="C45" s="3" t="s">
        <v>45</v>
      </c>
      <c r="D45" s="4" t="s">
        <v>321</v>
      </c>
      <c r="E45" s="11" t="s">
        <v>2827</v>
      </c>
      <c r="F45" s="18" t="s">
        <v>733</v>
      </c>
      <c r="G45" s="3" t="s">
        <v>44</v>
      </c>
      <c r="H45" s="4" t="s">
        <v>320</v>
      </c>
      <c r="K45" s="8" t="s">
        <v>1063</v>
      </c>
      <c r="M45" s="35">
        <v>0.04</v>
      </c>
      <c r="S45" t="s">
        <v>1182</v>
      </c>
      <c r="T45" s="11" t="s">
        <v>1183</v>
      </c>
      <c r="U45" s="11" t="s">
        <v>3609</v>
      </c>
      <c r="V45" s="11" t="s">
        <v>3190</v>
      </c>
      <c r="W45" s="54">
        <f>INDEX([1]ACOMPANHAMENTO!H:H,MATCH(A45,[1]ACOMPANHAMENTO!A:A,0))</f>
        <v>46082</v>
      </c>
      <c r="X45" s="11">
        <f t="shared" ca="1" si="0"/>
        <v>149</v>
      </c>
    </row>
    <row r="46" spans="1:24" x14ac:dyDescent="0.3">
      <c r="A46" s="5">
        <v>50</v>
      </c>
      <c r="B46" s="21">
        <v>37</v>
      </c>
      <c r="C46" s="3" t="s">
        <v>47</v>
      </c>
      <c r="D46" s="4" t="s">
        <v>323</v>
      </c>
      <c r="E46" s="11" t="s">
        <v>2827</v>
      </c>
      <c r="F46" s="18" t="s">
        <v>671</v>
      </c>
      <c r="G46" s="3" t="s">
        <v>448</v>
      </c>
      <c r="H46" s="4" t="s">
        <v>447</v>
      </c>
      <c r="K46" s="8">
        <v>0.1</v>
      </c>
      <c r="M46" s="35">
        <v>0.03</v>
      </c>
      <c r="S46" t="s">
        <v>1184</v>
      </c>
      <c r="T46" s="11" t="s">
        <v>1185</v>
      </c>
      <c r="U46" s="11" t="s">
        <v>3610</v>
      </c>
      <c r="V46" s="11" t="s">
        <v>3413</v>
      </c>
      <c r="W46" s="54">
        <f>INDEX([1]ACOMPANHAMENTO!H:H,MATCH(A46,[1]ACOMPANHAMENTO!A:A,0))</f>
        <v>45383</v>
      </c>
      <c r="X46" s="11">
        <f t="shared" ca="1" si="0"/>
        <v>-550</v>
      </c>
    </row>
    <row r="47" spans="1:24" x14ac:dyDescent="0.3">
      <c r="A47" s="5">
        <v>51</v>
      </c>
      <c r="B47" s="21">
        <v>36</v>
      </c>
      <c r="C47" s="3" t="s">
        <v>6</v>
      </c>
      <c r="D47" s="4" t="s">
        <v>430</v>
      </c>
      <c r="E47" s="11" t="s">
        <v>2827</v>
      </c>
      <c r="F47" s="18" t="s">
        <v>687</v>
      </c>
      <c r="G47" s="3" t="s">
        <v>46</v>
      </c>
      <c r="H47" s="4" t="s">
        <v>322</v>
      </c>
      <c r="K47" s="8" t="s">
        <v>1052</v>
      </c>
      <c r="M47" s="35">
        <v>0.03</v>
      </c>
      <c r="S47" t="s">
        <v>1186</v>
      </c>
      <c r="T47" s="11" t="s">
        <v>1172</v>
      </c>
      <c r="U47" s="11" t="s">
        <v>3610</v>
      </c>
      <c r="V47" s="11" t="s">
        <v>3414</v>
      </c>
      <c r="W47" s="54">
        <f>INDEX([1]ACOMPANHAMENTO!H:H,MATCH(A47,[1]ACOMPANHAMENTO!A:A,0))</f>
        <v>45352</v>
      </c>
      <c r="X47" s="11">
        <f t="shared" ca="1" si="0"/>
        <v>-581</v>
      </c>
    </row>
    <row r="48" spans="1:24" x14ac:dyDescent="0.3">
      <c r="A48" s="5">
        <v>52</v>
      </c>
      <c r="B48" s="21">
        <v>35</v>
      </c>
      <c r="C48" s="3" t="s">
        <v>18</v>
      </c>
      <c r="D48" s="4" t="s">
        <v>302</v>
      </c>
      <c r="E48" s="11" t="s">
        <v>2827</v>
      </c>
      <c r="F48" s="18" t="s">
        <v>562</v>
      </c>
      <c r="G48" s="3" t="s">
        <v>48</v>
      </c>
      <c r="H48" s="4" t="s">
        <v>324</v>
      </c>
      <c r="K48" s="8" t="s">
        <v>1052</v>
      </c>
      <c r="M48" s="35">
        <v>0.02</v>
      </c>
      <c r="S48" t="s">
        <v>1187</v>
      </c>
      <c r="T48" s="11" t="s">
        <v>1188</v>
      </c>
      <c r="U48" s="11" t="s">
        <v>559</v>
      </c>
      <c r="V48" s="11" t="s">
        <v>3119</v>
      </c>
      <c r="W48" s="54">
        <f>INDEX([1]ACOMPANHAMENTO!H:H,MATCH(A48,[1]ACOMPANHAMENTO!A:A,0))</f>
        <v>45778</v>
      </c>
      <c r="X48" s="11">
        <f t="shared" ca="1" si="0"/>
        <v>-155</v>
      </c>
    </row>
    <row r="49" spans="1:24" x14ac:dyDescent="0.3">
      <c r="A49" s="5">
        <v>53</v>
      </c>
      <c r="B49" s="21">
        <v>34</v>
      </c>
      <c r="C49" s="3" t="s">
        <v>50</v>
      </c>
      <c r="D49" s="4" t="s">
        <v>326</v>
      </c>
      <c r="E49" s="11" t="s">
        <v>2827</v>
      </c>
      <c r="F49" s="18" t="s">
        <v>693</v>
      </c>
      <c r="G49" s="3" t="s">
        <v>49</v>
      </c>
      <c r="H49" s="4" t="s">
        <v>325</v>
      </c>
      <c r="K49" s="8" t="s">
        <v>1064</v>
      </c>
      <c r="L49" s="32">
        <v>0.01</v>
      </c>
      <c r="R49" s="11" t="s">
        <v>1131</v>
      </c>
      <c r="S49" t="s">
        <v>1189</v>
      </c>
      <c r="T49" s="11" t="s">
        <v>1190</v>
      </c>
      <c r="U49" s="11" t="s">
        <v>693</v>
      </c>
      <c r="V49" s="11" t="s">
        <v>2970</v>
      </c>
      <c r="W49" s="54">
        <f>INDEX([1]ACOMPANHAMENTO!H:H,MATCH(A49,[1]ACOMPANHAMENTO!A:A,0))</f>
        <v>45809</v>
      </c>
      <c r="X49" s="11">
        <f t="shared" ca="1" si="0"/>
        <v>-124</v>
      </c>
    </row>
    <row r="50" spans="1:24" x14ac:dyDescent="0.3">
      <c r="A50" s="5">
        <v>55</v>
      </c>
      <c r="B50" s="21">
        <v>32</v>
      </c>
      <c r="C50" s="3" t="s">
        <v>52</v>
      </c>
      <c r="D50" s="4" t="s">
        <v>327</v>
      </c>
      <c r="E50" s="11" t="s">
        <v>2827</v>
      </c>
      <c r="F50" s="18" t="s">
        <v>734</v>
      </c>
      <c r="G50" s="3" t="s">
        <v>51</v>
      </c>
      <c r="H50" s="4" t="s">
        <v>134</v>
      </c>
      <c r="K50" s="8" t="s">
        <v>1065</v>
      </c>
      <c r="M50" s="35">
        <v>0.06</v>
      </c>
      <c r="S50" t="s">
        <v>1489</v>
      </c>
      <c r="T50" s="11" t="s">
        <v>1191</v>
      </c>
      <c r="U50" s="11" t="s">
        <v>734</v>
      </c>
      <c r="V50" s="11" t="s">
        <v>3415</v>
      </c>
      <c r="W50" s="54">
        <f>INDEX([1]ACOMPANHAMENTO!H:H,MATCH(A50,[1]ACOMPANHAMENTO!A:A,0))</f>
        <v>45717</v>
      </c>
      <c r="X50" s="11">
        <f t="shared" ca="1" si="0"/>
        <v>-216</v>
      </c>
    </row>
    <row r="51" spans="1:24" x14ac:dyDescent="0.3">
      <c r="A51" s="5">
        <v>56</v>
      </c>
      <c r="B51" s="21">
        <v>31</v>
      </c>
      <c r="C51" s="3" t="s">
        <v>4</v>
      </c>
      <c r="D51" s="4" t="s">
        <v>292</v>
      </c>
      <c r="E51" s="11" t="s">
        <v>2827</v>
      </c>
      <c r="F51" s="18" t="s">
        <v>820</v>
      </c>
      <c r="G51" s="3" t="s">
        <v>53</v>
      </c>
      <c r="H51" s="4" t="s">
        <v>328</v>
      </c>
      <c r="K51" s="8" t="s">
        <v>1066</v>
      </c>
      <c r="M51" s="35">
        <v>0.03</v>
      </c>
      <c r="S51" t="s">
        <v>1192</v>
      </c>
      <c r="T51" s="11" t="s">
        <v>1193</v>
      </c>
      <c r="U51" s="11" t="s">
        <v>820</v>
      </c>
      <c r="V51" s="11" t="s">
        <v>3109</v>
      </c>
      <c r="W51" s="54">
        <f>INDEX([1]ACOMPANHAMENTO!H:H,MATCH(A51,[1]ACOMPANHAMENTO!A:A,0))</f>
        <v>45931</v>
      </c>
      <c r="X51" s="11">
        <f t="shared" ca="1" si="0"/>
        <v>-2</v>
      </c>
    </row>
    <row r="52" spans="1:24" x14ac:dyDescent="0.3">
      <c r="A52" s="5">
        <v>58</v>
      </c>
      <c r="B52" s="21">
        <v>17</v>
      </c>
      <c r="C52" s="3" t="s">
        <v>14</v>
      </c>
      <c r="D52" s="4" t="s">
        <v>15</v>
      </c>
      <c r="E52" s="11" t="s">
        <v>2827</v>
      </c>
      <c r="F52" s="18" t="s">
        <v>563</v>
      </c>
      <c r="G52" s="3" t="s">
        <v>19</v>
      </c>
      <c r="H52" s="4" t="s">
        <v>303</v>
      </c>
      <c r="K52" s="8" t="s">
        <v>1052</v>
      </c>
      <c r="M52" s="35">
        <v>0.03</v>
      </c>
      <c r="S52" t="s">
        <v>1195</v>
      </c>
      <c r="T52" s="11" t="s">
        <v>1194</v>
      </c>
      <c r="U52" s="11" t="s">
        <v>695</v>
      </c>
      <c r="V52" s="11" t="s">
        <v>3416</v>
      </c>
      <c r="W52" s="54">
        <f>INDEX([1]ACOMPANHAMENTO!H:H,MATCH(A52,[1]ACOMPANHAMENTO!A:A,0))</f>
        <v>45717</v>
      </c>
      <c r="X52" s="11">
        <f t="shared" ca="1" si="0"/>
        <v>-216</v>
      </c>
    </row>
    <row r="53" spans="1:24" x14ac:dyDescent="0.3">
      <c r="A53" s="5">
        <v>59</v>
      </c>
      <c r="B53" s="21">
        <v>29</v>
      </c>
      <c r="C53" s="3" t="s">
        <v>55</v>
      </c>
      <c r="D53" s="4" t="s">
        <v>133</v>
      </c>
      <c r="E53" s="11" t="s">
        <v>2827</v>
      </c>
      <c r="F53" s="18" t="s">
        <v>883</v>
      </c>
      <c r="G53" s="3" t="s">
        <v>54</v>
      </c>
      <c r="H53" s="4" t="s">
        <v>329</v>
      </c>
      <c r="K53" s="8" t="s">
        <v>1067</v>
      </c>
      <c r="M53" s="35">
        <v>2.1999999999999999E-2</v>
      </c>
      <c r="S53" t="s">
        <v>1196</v>
      </c>
      <c r="T53" s="11" t="s">
        <v>1197</v>
      </c>
      <c r="U53" s="11" t="s">
        <v>883</v>
      </c>
      <c r="V53" s="11" t="s">
        <v>3186</v>
      </c>
      <c r="W53" s="54">
        <f>INDEX([1]ACOMPANHAMENTO!H:H,MATCH(A53,[1]ACOMPANHAMENTO!A:A,0))</f>
        <v>45748</v>
      </c>
      <c r="X53" s="11">
        <f t="shared" ca="1" si="0"/>
        <v>-185</v>
      </c>
    </row>
    <row r="54" spans="1:24" x14ac:dyDescent="0.3">
      <c r="A54" s="5">
        <v>60</v>
      </c>
      <c r="B54" s="21">
        <v>54</v>
      </c>
      <c r="C54" s="3" t="s">
        <v>18</v>
      </c>
      <c r="D54" s="4" t="s">
        <v>302</v>
      </c>
      <c r="E54" s="11" t="s">
        <v>2827</v>
      </c>
      <c r="F54" s="18" t="s">
        <v>564</v>
      </c>
      <c r="G54" s="3" t="s">
        <v>19</v>
      </c>
      <c r="H54" s="4" t="s">
        <v>303</v>
      </c>
      <c r="K54" s="8" t="s">
        <v>1052</v>
      </c>
      <c r="M54" s="35">
        <v>0.02</v>
      </c>
      <c r="S54" t="s">
        <v>1154</v>
      </c>
      <c r="T54" s="11" t="s">
        <v>1155</v>
      </c>
      <c r="U54" s="11" t="s">
        <v>559</v>
      </c>
      <c r="V54" s="11" t="s">
        <v>2831</v>
      </c>
      <c r="W54" s="54">
        <f>INDEX([1]ACOMPANHAMENTO!H:H,MATCH(A54,[1]ACOMPANHAMENTO!A:A,0))</f>
        <v>45717</v>
      </c>
      <c r="X54" s="11">
        <f t="shared" ca="1" si="0"/>
        <v>-216</v>
      </c>
    </row>
    <row r="55" spans="1:24" x14ac:dyDescent="0.3">
      <c r="A55" s="5">
        <v>61</v>
      </c>
      <c r="B55" s="21">
        <v>9</v>
      </c>
      <c r="C55" s="3" t="s">
        <v>11</v>
      </c>
      <c r="D55" s="4" t="s">
        <v>297</v>
      </c>
      <c r="E55" s="11" t="s">
        <v>2827</v>
      </c>
      <c r="F55" s="18" t="s">
        <v>565</v>
      </c>
      <c r="G55" s="3" t="s">
        <v>10</v>
      </c>
      <c r="H55" s="4" t="s">
        <v>296</v>
      </c>
      <c r="K55" s="8" t="s">
        <v>1055</v>
      </c>
      <c r="M55" s="35">
        <v>0.03</v>
      </c>
      <c r="S55" t="s">
        <v>1141</v>
      </c>
      <c r="T55" s="11" t="s">
        <v>1151</v>
      </c>
      <c r="U55" s="11" t="s">
        <v>3588</v>
      </c>
      <c r="V55" s="11" t="s">
        <v>2878</v>
      </c>
      <c r="W55" s="54">
        <f>INDEX([1]ACOMPANHAMENTO!H:H,MATCH(A55,[1]ACOMPANHAMENTO!A:A,0))</f>
        <v>46082</v>
      </c>
      <c r="X55" s="11">
        <f t="shared" ca="1" si="0"/>
        <v>149</v>
      </c>
    </row>
    <row r="56" spans="1:24" x14ac:dyDescent="0.3">
      <c r="A56" s="5">
        <v>62</v>
      </c>
      <c r="B56" s="21">
        <v>54</v>
      </c>
      <c r="C56" s="3" t="s">
        <v>18</v>
      </c>
      <c r="D56" s="4" t="s">
        <v>302</v>
      </c>
      <c r="E56" s="11" t="s">
        <v>2827</v>
      </c>
      <c r="F56" s="18" t="s">
        <v>566</v>
      </c>
      <c r="G56" s="3" t="s">
        <v>19</v>
      </c>
      <c r="H56" s="4" t="s">
        <v>303</v>
      </c>
      <c r="K56" s="8" t="s">
        <v>1052</v>
      </c>
      <c r="M56" s="35">
        <v>0.02</v>
      </c>
      <c r="S56" t="s">
        <v>1154</v>
      </c>
      <c r="T56" s="11" t="s">
        <v>1155</v>
      </c>
      <c r="U56" s="11" t="s">
        <v>559</v>
      </c>
      <c r="V56" s="11" t="s">
        <v>2854</v>
      </c>
      <c r="W56" s="54">
        <f>INDEX([1]ACOMPANHAMENTO!H:H,MATCH(A56,[1]ACOMPANHAMENTO!A:A,0))</f>
        <v>45717</v>
      </c>
      <c r="X56" s="11">
        <f t="shared" ca="1" si="0"/>
        <v>-216</v>
      </c>
    </row>
    <row r="57" spans="1:24" x14ac:dyDescent="0.3">
      <c r="A57" s="5">
        <v>64</v>
      </c>
      <c r="B57" s="21">
        <v>29</v>
      </c>
      <c r="C57" s="3" t="s">
        <v>55</v>
      </c>
      <c r="D57" s="4" t="s">
        <v>133</v>
      </c>
      <c r="E57" s="11" t="s">
        <v>2827</v>
      </c>
      <c r="F57" s="18" t="s">
        <v>883</v>
      </c>
      <c r="G57" s="3" t="s">
        <v>54</v>
      </c>
      <c r="H57" s="4" t="s">
        <v>329</v>
      </c>
      <c r="K57" s="8" t="s">
        <v>1067</v>
      </c>
      <c r="M57" s="35">
        <v>2.1999999999999999E-2</v>
      </c>
      <c r="S57" t="s">
        <v>1196</v>
      </c>
      <c r="T57" s="11" t="s">
        <v>1197</v>
      </c>
      <c r="U57" s="11" t="s">
        <v>883</v>
      </c>
      <c r="V57" s="11" t="s">
        <v>3186</v>
      </c>
      <c r="W57" s="54">
        <f>INDEX([1]ACOMPANHAMENTO!H:H,MATCH(A57,[1]ACOMPANHAMENTO!A:A,0))</f>
        <v>45748</v>
      </c>
      <c r="X57" s="11">
        <f t="shared" ca="1" si="0"/>
        <v>-185</v>
      </c>
    </row>
    <row r="58" spans="1:24" x14ac:dyDescent="0.3">
      <c r="A58" s="5">
        <v>65</v>
      </c>
      <c r="B58" s="21">
        <v>38</v>
      </c>
      <c r="C58" s="3" t="s">
        <v>45</v>
      </c>
      <c r="D58" s="4" t="s">
        <v>321</v>
      </c>
      <c r="E58" s="11" t="s">
        <v>2827</v>
      </c>
      <c r="F58" s="18" t="s">
        <v>733</v>
      </c>
      <c r="G58" s="3" t="s">
        <v>44</v>
      </c>
      <c r="H58" s="4" t="s">
        <v>320</v>
      </c>
      <c r="K58" s="8" t="s">
        <v>1063</v>
      </c>
      <c r="M58" s="35">
        <v>0.04</v>
      </c>
      <c r="S58" t="s">
        <v>1182</v>
      </c>
      <c r="T58" s="11" t="s">
        <v>1183</v>
      </c>
      <c r="U58" s="11" t="s">
        <v>3609</v>
      </c>
      <c r="V58" s="11" t="s">
        <v>3190</v>
      </c>
      <c r="W58" s="54">
        <f>INDEX([1]ACOMPANHAMENTO!H:H,MATCH(A58,[1]ACOMPANHAMENTO!A:A,0))</f>
        <v>46082</v>
      </c>
      <c r="X58" s="11">
        <f t="shared" ca="1" si="0"/>
        <v>149</v>
      </c>
    </row>
    <row r="59" spans="1:24" x14ac:dyDescent="0.3">
      <c r="A59" s="5">
        <v>66</v>
      </c>
      <c r="B59" s="21">
        <v>32</v>
      </c>
      <c r="C59" s="3" t="s">
        <v>52</v>
      </c>
      <c r="D59" s="4" t="s">
        <v>327</v>
      </c>
      <c r="E59" s="11" t="s">
        <v>2827</v>
      </c>
      <c r="F59" s="18" t="s">
        <v>734</v>
      </c>
      <c r="G59" s="3" t="s">
        <v>51</v>
      </c>
      <c r="H59" s="4" t="s">
        <v>134</v>
      </c>
      <c r="K59" s="8" t="s">
        <v>1065</v>
      </c>
      <c r="M59" s="35">
        <v>0.06</v>
      </c>
      <c r="S59" t="s">
        <v>1489</v>
      </c>
      <c r="T59" s="11" t="s">
        <v>1191</v>
      </c>
      <c r="U59" s="11" t="s">
        <v>734</v>
      </c>
      <c r="V59" s="11" t="s">
        <v>3415</v>
      </c>
      <c r="W59" s="54">
        <f>INDEX([1]ACOMPANHAMENTO!H:H,MATCH(A59,[1]ACOMPANHAMENTO!A:A,0))</f>
        <v>45717</v>
      </c>
      <c r="X59" s="11">
        <f t="shared" ca="1" si="0"/>
        <v>-216</v>
      </c>
    </row>
    <row r="60" spans="1:24" x14ac:dyDescent="0.3">
      <c r="A60" s="5">
        <v>68</v>
      </c>
      <c r="B60" s="21">
        <v>18</v>
      </c>
      <c r="C60" s="3" t="s">
        <v>2</v>
      </c>
      <c r="D60" s="4" t="s">
        <v>20</v>
      </c>
      <c r="E60" s="11" t="s">
        <v>2827</v>
      </c>
      <c r="F60" s="18" t="s">
        <v>567</v>
      </c>
      <c r="G60" s="3" t="s">
        <v>1</v>
      </c>
      <c r="H60" s="4" t="s">
        <v>257</v>
      </c>
      <c r="K60" s="8" t="s">
        <v>1052</v>
      </c>
      <c r="M60" s="35">
        <v>0.02</v>
      </c>
      <c r="N60" s="32">
        <v>0.04</v>
      </c>
      <c r="O60" s="32">
        <v>0.08</v>
      </c>
      <c r="P60" s="32">
        <v>0.12</v>
      </c>
      <c r="S60" t="s">
        <v>1138</v>
      </c>
      <c r="T60" s="11" t="s">
        <v>1135</v>
      </c>
      <c r="U60" s="11" t="s">
        <v>704</v>
      </c>
      <c r="V60" s="11" t="s">
        <v>3148</v>
      </c>
      <c r="W60" s="54">
        <f>INDEX([1]ACOMPANHAMENTO!H:H,MATCH(A60,[1]ACOMPANHAMENTO!A:A,0))</f>
        <v>45809</v>
      </c>
      <c r="X60" s="11">
        <f t="shared" ca="1" si="0"/>
        <v>-124</v>
      </c>
    </row>
    <row r="61" spans="1:24" x14ac:dyDescent="0.3">
      <c r="A61" s="5">
        <v>69</v>
      </c>
      <c r="B61" s="21">
        <v>194</v>
      </c>
      <c r="C61" s="14" t="s">
        <v>41</v>
      </c>
      <c r="D61" s="4" t="s">
        <v>317</v>
      </c>
      <c r="E61" s="11" t="s">
        <v>2827</v>
      </c>
      <c r="F61" s="18" t="s">
        <v>568</v>
      </c>
      <c r="G61" s="14" t="s">
        <v>439</v>
      </c>
      <c r="H61" s="4" t="s">
        <v>438</v>
      </c>
      <c r="I61" s="53"/>
      <c r="J61" s="53"/>
      <c r="K61" s="8" t="s">
        <v>1052</v>
      </c>
      <c r="Q61" s="11" t="s">
        <v>1068</v>
      </c>
      <c r="S61" t="s">
        <v>1198</v>
      </c>
      <c r="T61" s="11" t="s">
        <v>1199</v>
      </c>
      <c r="U61" s="11" t="s">
        <v>577</v>
      </c>
      <c r="V61" s="11" t="s">
        <v>3045</v>
      </c>
      <c r="W61" s="54">
        <f>INDEX([1]ACOMPANHAMENTO!H:H,MATCH(A61,[1]ACOMPANHAMENTO!A:A,0))</f>
        <v>45809</v>
      </c>
      <c r="X61" s="11">
        <f t="shared" ca="1" si="0"/>
        <v>-124</v>
      </c>
    </row>
    <row r="62" spans="1:24" x14ac:dyDescent="0.3">
      <c r="A62" s="5">
        <v>71</v>
      </c>
      <c r="B62" s="21">
        <v>146</v>
      </c>
      <c r="C62" s="3" t="s">
        <v>26</v>
      </c>
      <c r="D62" s="4" t="s">
        <v>306</v>
      </c>
      <c r="E62" s="11" t="s">
        <v>2827</v>
      </c>
      <c r="F62" s="18" t="s">
        <v>569</v>
      </c>
      <c r="G62" s="3" t="s">
        <v>25</v>
      </c>
      <c r="H62" s="4" t="s">
        <v>431</v>
      </c>
      <c r="K62" s="8" t="s">
        <v>1052</v>
      </c>
      <c r="Q62" s="11" t="s">
        <v>1057</v>
      </c>
      <c r="S62" t="s">
        <v>1160</v>
      </c>
      <c r="T62" s="11" t="s">
        <v>1161</v>
      </c>
      <c r="U62" s="11" t="s">
        <v>698</v>
      </c>
      <c r="V62" s="11" t="s">
        <v>3417</v>
      </c>
      <c r="W62" s="54">
        <f>INDEX([1]ACOMPANHAMENTO!H:H,MATCH(A62,[1]ACOMPANHAMENTO!A:A,0))</f>
        <v>45778</v>
      </c>
      <c r="X62" s="11">
        <f t="shared" ca="1" si="0"/>
        <v>-155</v>
      </c>
    </row>
    <row r="63" spans="1:24" x14ac:dyDescent="0.3">
      <c r="A63" s="5">
        <v>72</v>
      </c>
      <c r="B63" s="21">
        <v>7</v>
      </c>
      <c r="C63" s="3" t="s">
        <v>28</v>
      </c>
      <c r="D63" s="4" t="s">
        <v>308</v>
      </c>
      <c r="E63" s="11" t="s">
        <v>2827</v>
      </c>
      <c r="F63" s="18" t="s">
        <v>944</v>
      </c>
      <c r="G63" s="3" t="s">
        <v>27</v>
      </c>
      <c r="H63" s="4" t="s">
        <v>307</v>
      </c>
      <c r="K63" s="8" t="s">
        <v>1052</v>
      </c>
      <c r="M63" s="35">
        <v>0.05</v>
      </c>
      <c r="Q63" s="11" t="s">
        <v>1058</v>
      </c>
      <c r="S63" t="s">
        <v>1163</v>
      </c>
      <c r="T63" s="11" t="s">
        <v>1487</v>
      </c>
      <c r="U63" s="11" t="s">
        <v>944</v>
      </c>
      <c r="V63" s="11" t="s">
        <v>2948</v>
      </c>
      <c r="W63" s="54">
        <f>INDEX([1]ACOMPANHAMENTO!H:H,MATCH(A63,[1]ACOMPANHAMENTO!A:A,0))</f>
        <v>45870</v>
      </c>
      <c r="X63" s="11">
        <f t="shared" ca="1" si="0"/>
        <v>-63</v>
      </c>
    </row>
    <row r="64" spans="1:24" x14ac:dyDescent="0.3">
      <c r="A64" s="5">
        <v>73</v>
      </c>
      <c r="B64" s="21">
        <v>43</v>
      </c>
      <c r="C64" s="3" t="s">
        <v>58</v>
      </c>
      <c r="D64" s="4" t="s">
        <v>59</v>
      </c>
      <c r="E64" s="11" t="s">
        <v>2827</v>
      </c>
      <c r="F64" s="18" t="s">
        <v>715</v>
      </c>
      <c r="G64" s="3" t="s">
        <v>56</v>
      </c>
      <c r="H64" s="4" t="s">
        <v>57</v>
      </c>
      <c r="K64" s="8" t="s">
        <v>1052</v>
      </c>
      <c r="M64" s="35">
        <v>0.03</v>
      </c>
      <c r="S64" t="s">
        <v>1200</v>
      </c>
      <c r="T64" s="11" t="s">
        <v>1201</v>
      </c>
      <c r="U64" s="11" t="s">
        <v>3612</v>
      </c>
      <c r="V64" s="11" t="s">
        <v>3127</v>
      </c>
      <c r="W64" s="54">
        <f>INDEX([1]ACOMPANHAMENTO!H:H,MATCH(A64,[1]ACOMPANHAMENTO!A:A,0))</f>
        <v>45748</v>
      </c>
      <c r="X64" s="11">
        <f t="shared" ca="1" si="0"/>
        <v>-185</v>
      </c>
    </row>
    <row r="65" spans="1:24" x14ac:dyDescent="0.3">
      <c r="A65" s="5">
        <v>75</v>
      </c>
      <c r="B65" s="21">
        <v>27</v>
      </c>
      <c r="C65" s="3" t="s">
        <v>61</v>
      </c>
      <c r="D65" s="4" t="s">
        <v>331</v>
      </c>
      <c r="E65" s="11" t="s">
        <v>2156</v>
      </c>
      <c r="F65" s="18" t="s">
        <v>876</v>
      </c>
      <c r="G65" s="3" t="s">
        <v>60</v>
      </c>
      <c r="H65" s="4" t="s">
        <v>330</v>
      </c>
      <c r="K65" s="8" t="s">
        <v>1052</v>
      </c>
      <c r="L65" s="32">
        <v>1.4999999999999999E-2</v>
      </c>
      <c r="M65" s="35">
        <v>0.05</v>
      </c>
      <c r="Q65" s="11"/>
      <c r="S65" t="s">
        <v>1202</v>
      </c>
      <c r="T65" s="11" t="s">
        <v>1490</v>
      </c>
      <c r="U65" s="11" t="s">
        <v>876</v>
      </c>
      <c r="V65" s="11" t="s">
        <v>2519</v>
      </c>
      <c r="W65" s="54">
        <f>INDEX([1]ACOMPANHAMENTO!H:H,MATCH(A65,[1]ACOMPANHAMENTO!A:A,0))</f>
        <v>45717</v>
      </c>
      <c r="X65" s="11">
        <f t="shared" ca="1" si="0"/>
        <v>-216</v>
      </c>
    </row>
    <row r="66" spans="1:24" x14ac:dyDescent="0.3">
      <c r="A66" s="5">
        <v>76</v>
      </c>
      <c r="B66" s="21">
        <v>26</v>
      </c>
      <c r="C66" s="3" t="s">
        <v>28</v>
      </c>
      <c r="D66" s="4" t="s">
        <v>308</v>
      </c>
      <c r="E66" s="11" t="s">
        <v>2827</v>
      </c>
      <c r="F66" s="18" t="s">
        <v>570</v>
      </c>
      <c r="G66" s="3" t="s">
        <v>62</v>
      </c>
      <c r="H66" s="4" t="s">
        <v>332</v>
      </c>
      <c r="K66" s="8" t="s">
        <v>1069</v>
      </c>
      <c r="M66" s="35">
        <v>0.05</v>
      </c>
      <c r="S66" t="s">
        <v>1203</v>
      </c>
      <c r="T66" s="11" t="s">
        <v>1204</v>
      </c>
      <c r="U66" s="11" t="s">
        <v>944</v>
      </c>
      <c r="V66" s="11" t="s">
        <v>3418</v>
      </c>
      <c r="W66" s="54">
        <f>INDEX([1]ACOMPANHAMENTO!H:H,MATCH(A66,[1]ACOMPANHAMENTO!A:A,0))</f>
        <v>45717</v>
      </c>
      <c r="X66" s="11">
        <f t="shared" ca="1" si="0"/>
        <v>-216</v>
      </c>
    </row>
    <row r="67" spans="1:24" x14ac:dyDescent="0.3">
      <c r="A67" s="5">
        <v>78</v>
      </c>
      <c r="B67" s="21">
        <v>70</v>
      </c>
      <c r="C67" s="3" t="s">
        <v>65</v>
      </c>
      <c r="D67" s="4" t="s">
        <v>66</v>
      </c>
      <c r="E67" s="11" t="s">
        <v>2827</v>
      </c>
      <c r="F67" s="18" t="s">
        <v>571</v>
      </c>
      <c r="G67" s="3" t="s">
        <v>63</v>
      </c>
      <c r="H67" s="4" t="s">
        <v>64</v>
      </c>
      <c r="K67" s="8" t="s">
        <v>1055</v>
      </c>
      <c r="M67" s="35">
        <v>0.03</v>
      </c>
      <c r="S67" t="s">
        <v>1206</v>
      </c>
      <c r="T67" s="11" t="s">
        <v>1205</v>
      </c>
      <c r="U67" s="11" t="s">
        <v>3614</v>
      </c>
      <c r="V67" s="11" t="s">
        <v>3419</v>
      </c>
      <c r="W67" s="54">
        <f>INDEX([1]ACOMPANHAMENTO!H:H,MATCH(A67,[1]ACOMPANHAMENTO!A:A,0))</f>
        <v>45717</v>
      </c>
      <c r="X67" s="11">
        <f t="shared" ref="X67:X130" ca="1" si="1">W67-TODAY()</f>
        <v>-216</v>
      </c>
    </row>
    <row r="68" spans="1:24" x14ac:dyDescent="0.3">
      <c r="A68" s="5">
        <v>80</v>
      </c>
      <c r="B68" s="21">
        <v>54</v>
      </c>
      <c r="C68" s="3" t="s">
        <v>18</v>
      </c>
      <c r="D68" s="4" t="s">
        <v>302</v>
      </c>
      <c r="E68" s="11" t="s">
        <v>2827</v>
      </c>
      <c r="F68" s="18" t="s">
        <v>572</v>
      </c>
      <c r="G68" s="3" t="s">
        <v>19</v>
      </c>
      <c r="H68" s="4" t="s">
        <v>303</v>
      </c>
      <c r="K68" s="8" t="s">
        <v>1052</v>
      </c>
      <c r="M68" s="35">
        <v>0.02</v>
      </c>
      <c r="S68" t="s">
        <v>1154</v>
      </c>
      <c r="T68" s="11" t="s">
        <v>1155</v>
      </c>
      <c r="U68" s="11" t="s">
        <v>559</v>
      </c>
      <c r="V68" s="11" t="s">
        <v>3420</v>
      </c>
      <c r="W68" s="54">
        <f>INDEX([1]ACOMPANHAMENTO!H:H,MATCH(A68,[1]ACOMPANHAMENTO!A:A,0))</f>
        <v>45717</v>
      </c>
      <c r="X68" s="11">
        <f t="shared" ca="1" si="1"/>
        <v>-216</v>
      </c>
    </row>
    <row r="69" spans="1:24" x14ac:dyDescent="0.3">
      <c r="A69" s="5">
        <v>81</v>
      </c>
      <c r="B69" s="21">
        <v>46</v>
      </c>
      <c r="C69" s="3" t="s">
        <v>67</v>
      </c>
      <c r="D69" s="4" t="s">
        <v>333</v>
      </c>
      <c r="E69" s="11" t="s">
        <v>2827</v>
      </c>
      <c r="F69" s="18" t="s">
        <v>573</v>
      </c>
      <c r="G69" s="3" t="s">
        <v>70</v>
      </c>
      <c r="H69" s="4" t="s">
        <v>334</v>
      </c>
      <c r="K69" s="8" t="s">
        <v>1052</v>
      </c>
      <c r="M69" s="35">
        <v>0.05</v>
      </c>
      <c r="Q69" s="11" t="s">
        <v>1070</v>
      </c>
      <c r="S69" t="s">
        <v>1207</v>
      </c>
      <c r="T69" s="11" t="s">
        <v>1491</v>
      </c>
      <c r="U69" s="11" t="s">
        <v>573</v>
      </c>
      <c r="V69" s="11" t="s">
        <v>3421</v>
      </c>
      <c r="W69" s="54">
        <f>INDEX([1]ACOMPANHAMENTO!H:H,MATCH(A69,[1]ACOMPANHAMENTO!A:A,0))</f>
        <v>46082</v>
      </c>
      <c r="X69" s="11">
        <f t="shared" ca="1" si="1"/>
        <v>149</v>
      </c>
    </row>
    <row r="70" spans="1:24" x14ac:dyDescent="0.3">
      <c r="A70" s="5">
        <v>82</v>
      </c>
      <c r="B70" s="21">
        <v>25</v>
      </c>
      <c r="C70" s="3" t="s">
        <v>4</v>
      </c>
      <c r="D70" s="4" t="s">
        <v>292</v>
      </c>
      <c r="E70" s="11" t="s">
        <v>2827</v>
      </c>
      <c r="F70" s="18" t="s">
        <v>889</v>
      </c>
      <c r="G70" s="3" t="s">
        <v>5</v>
      </c>
      <c r="H70" s="4" t="s">
        <v>293</v>
      </c>
      <c r="K70" s="8" t="s">
        <v>1053</v>
      </c>
      <c r="Q70" s="11" t="s">
        <v>1054</v>
      </c>
      <c r="S70" t="s">
        <v>1136</v>
      </c>
      <c r="T70" s="11" t="s">
        <v>1137</v>
      </c>
      <c r="U70" s="11" t="s">
        <v>820</v>
      </c>
      <c r="V70" s="11" t="s">
        <v>3239</v>
      </c>
      <c r="W70" s="54">
        <f>INDEX([1]ACOMPANHAMENTO!H:H,MATCH(A70,[1]ACOMPANHAMENTO!A:A,0))</f>
        <v>45931</v>
      </c>
      <c r="X70" s="11">
        <f t="shared" ca="1" si="1"/>
        <v>-2</v>
      </c>
    </row>
    <row r="71" spans="1:24" x14ac:dyDescent="0.3">
      <c r="A71" s="5">
        <v>83</v>
      </c>
      <c r="B71" s="21">
        <v>43</v>
      </c>
      <c r="C71" s="3" t="s">
        <v>58</v>
      </c>
      <c r="D71" s="4" t="s">
        <v>59</v>
      </c>
      <c r="E71" s="11" t="s">
        <v>2827</v>
      </c>
      <c r="F71" s="18" t="s">
        <v>574</v>
      </c>
      <c r="G71" s="3" t="s">
        <v>56</v>
      </c>
      <c r="H71" s="4" t="s">
        <v>57</v>
      </c>
      <c r="K71" s="8" t="s">
        <v>1052</v>
      </c>
      <c r="M71" s="35">
        <v>0.03</v>
      </c>
      <c r="S71" t="s">
        <v>1200</v>
      </c>
      <c r="T71" s="11" t="s">
        <v>1201</v>
      </c>
      <c r="U71" s="11" t="s">
        <v>3612</v>
      </c>
      <c r="V71" s="11" t="s">
        <v>3066</v>
      </c>
      <c r="W71" s="54">
        <f>INDEX([1]ACOMPANHAMENTO!H:H,MATCH(A71,[1]ACOMPANHAMENTO!A:A,0))</f>
        <v>45748</v>
      </c>
      <c r="X71" s="11">
        <f t="shared" ca="1" si="1"/>
        <v>-185</v>
      </c>
    </row>
    <row r="72" spans="1:24" x14ac:dyDescent="0.3">
      <c r="A72" s="5">
        <v>84</v>
      </c>
      <c r="B72" s="21">
        <v>31</v>
      </c>
      <c r="C72" s="3" t="s">
        <v>4</v>
      </c>
      <c r="D72" s="4" t="s">
        <v>292</v>
      </c>
      <c r="E72" s="11" t="s">
        <v>2827</v>
      </c>
      <c r="F72" s="18" t="s">
        <v>575</v>
      </c>
      <c r="G72" s="3" t="s">
        <v>53</v>
      </c>
      <c r="H72" s="4" t="s">
        <v>328</v>
      </c>
      <c r="K72" s="8" t="s">
        <v>1066</v>
      </c>
      <c r="M72" s="35">
        <v>0.03</v>
      </c>
      <c r="S72" t="s">
        <v>1192</v>
      </c>
      <c r="T72" s="11" t="s">
        <v>1193</v>
      </c>
      <c r="U72" s="11" t="s">
        <v>820</v>
      </c>
      <c r="V72" s="11" t="s">
        <v>2896</v>
      </c>
      <c r="W72" s="54">
        <f>INDEX([1]ACOMPANHAMENTO!H:H,MATCH(A72,[1]ACOMPANHAMENTO!A:A,0))</f>
        <v>45931</v>
      </c>
      <c r="X72" s="11">
        <f t="shared" ca="1" si="1"/>
        <v>-2</v>
      </c>
    </row>
    <row r="73" spans="1:24" x14ac:dyDescent="0.3">
      <c r="A73" s="5">
        <v>85</v>
      </c>
      <c r="B73" s="21">
        <v>47</v>
      </c>
      <c r="C73" s="3" t="s">
        <v>72</v>
      </c>
      <c r="D73" s="4" t="s">
        <v>336</v>
      </c>
      <c r="E73" s="11" t="s">
        <v>2827</v>
      </c>
      <c r="F73" s="18" t="s">
        <v>747</v>
      </c>
      <c r="G73" s="3" t="s">
        <v>3</v>
      </c>
      <c r="H73" s="4" t="s">
        <v>7</v>
      </c>
      <c r="K73" s="8"/>
      <c r="S73" t="s">
        <v>1208</v>
      </c>
      <c r="T73" s="11" t="s">
        <v>1209</v>
      </c>
      <c r="U73" s="11" t="s">
        <v>747</v>
      </c>
      <c r="V73" s="11" t="s">
        <v>3165</v>
      </c>
      <c r="W73" s="54">
        <f>INDEX([1]ACOMPANHAMENTO!H:H,MATCH(A73,[1]ACOMPANHAMENTO!A:A,0))</f>
        <v>45323</v>
      </c>
      <c r="X73" s="11">
        <f t="shared" ca="1" si="1"/>
        <v>-610</v>
      </c>
    </row>
    <row r="74" spans="1:24" x14ac:dyDescent="0.3">
      <c r="A74" s="5">
        <v>86</v>
      </c>
      <c r="B74" s="21">
        <v>48</v>
      </c>
      <c r="C74" s="3" t="s">
        <v>14</v>
      </c>
      <c r="D74" s="4" t="s">
        <v>15</v>
      </c>
      <c r="E74" s="11" t="s">
        <v>2827</v>
      </c>
      <c r="F74" s="18" t="s">
        <v>576</v>
      </c>
      <c r="G74" s="3" t="s">
        <v>73</v>
      </c>
      <c r="H74" s="4" t="s">
        <v>337</v>
      </c>
      <c r="K74" s="8" t="s">
        <v>1055</v>
      </c>
      <c r="M74" s="35">
        <v>0.03</v>
      </c>
      <c r="S74" t="s">
        <v>1210</v>
      </c>
      <c r="T74" s="11" t="s">
        <v>1211</v>
      </c>
      <c r="U74" s="11" t="s">
        <v>695</v>
      </c>
      <c r="V74" s="11" t="s">
        <v>2959</v>
      </c>
      <c r="W74" s="54">
        <f>INDEX([1]ACOMPANHAMENTO!H:H,MATCH(A74,[1]ACOMPANHAMENTO!A:A,0))</f>
        <v>45809</v>
      </c>
      <c r="X74" s="11">
        <f t="shared" ca="1" si="1"/>
        <v>-124</v>
      </c>
    </row>
    <row r="75" spans="1:24" x14ac:dyDescent="0.3">
      <c r="A75" s="5">
        <v>88</v>
      </c>
      <c r="B75" s="21">
        <v>145</v>
      </c>
      <c r="C75" s="3" t="s">
        <v>74</v>
      </c>
      <c r="D75" s="4" t="s">
        <v>338</v>
      </c>
      <c r="E75" s="11" t="s">
        <v>2827</v>
      </c>
      <c r="F75" s="18" t="s">
        <v>943</v>
      </c>
      <c r="G75" s="3" t="s">
        <v>68</v>
      </c>
      <c r="H75" s="4" t="s">
        <v>69</v>
      </c>
      <c r="K75" s="8" t="s">
        <v>1052</v>
      </c>
      <c r="M75" s="35">
        <v>0.03</v>
      </c>
      <c r="S75" t="s">
        <v>1212</v>
      </c>
      <c r="T75" s="11" t="s">
        <v>1213</v>
      </c>
      <c r="U75" s="11" t="s">
        <v>943</v>
      </c>
      <c r="V75" s="11" t="s">
        <v>3133</v>
      </c>
      <c r="W75" s="54">
        <f>INDEX([1]ACOMPANHAMENTO!H:H,MATCH(A75,[1]ACOMPANHAMENTO!A:A,0))</f>
        <v>45901</v>
      </c>
      <c r="X75" s="11">
        <f t="shared" ca="1" si="1"/>
        <v>-32</v>
      </c>
    </row>
    <row r="76" spans="1:24" x14ac:dyDescent="0.3">
      <c r="A76" s="5">
        <v>89</v>
      </c>
      <c r="B76" s="21">
        <v>69</v>
      </c>
      <c r="C76" s="3" t="s">
        <v>65</v>
      </c>
      <c r="D76" s="4" t="s">
        <v>66</v>
      </c>
      <c r="E76" s="11" t="s">
        <v>2827</v>
      </c>
      <c r="F76" s="18" t="s">
        <v>799</v>
      </c>
      <c r="G76" s="3" t="s">
        <v>63</v>
      </c>
      <c r="H76" s="4" t="s">
        <v>64</v>
      </c>
      <c r="K76" s="8" t="s">
        <v>1067</v>
      </c>
      <c r="M76" s="35">
        <v>0.03</v>
      </c>
      <c r="S76" t="s">
        <v>1214</v>
      </c>
      <c r="T76" s="11" t="s">
        <v>1215</v>
      </c>
      <c r="U76" s="11" t="s">
        <v>3614</v>
      </c>
      <c r="V76" s="11" t="s">
        <v>3260</v>
      </c>
      <c r="W76" s="54">
        <f>INDEX([1]ACOMPANHAMENTO!H:H,MATCH(A76,[1]ACOMPANHAMENTO!A:A,0))</f>
        <v>45717</v>
      </c>
      <c r="X76" s="11">
        <f t="shared" ca="1" si="1"/>
        <v>-216</v>
      </c>
    </row>
    <row r="77" spans="1:24" x14ac:dyDescent="0.3">
      <c r="A77" s="5">
        <v>90</v>
      </c>
      <c r="B77" s="21">
        <v>245</v>
      </c>
      <c r="C77" s="3" t="s">
        <v>16</v>
      </c>
      <c r="D77" s="4" t="s">
        <v>300</v>
      </c>
      <c r="E77" s="11" t="s">
        <v>2827</v>
      </c>
      <c r="F77" s="18" t="s">
        <v>722</v>
      </c>
      <c r="G77" s="3" t="s">
        <v>3</v>
      </c>
      <c r="H77" s="4" t="s">
        <v>7</v>
      </c>
      <c r="K77" s="8" t="s">
        <v>1059</v>
      </c>
      <c r="M77" s="35">
        <v>0.03</v>
      </c>
      <c r="S77" t="s">
        <v>1168</v>
      </c>
      <c r="T77" s="11" t="s">
        <v>1169</v>
      </c>
      <c r="U77" s="11" t="s">
        <v>731</v>
      </c>
      <c r="V77" s="11" t="s">
        <v>3036</v>
      </c>
      <c r="W77" s="54">
        <f>INDEX([1]ACOMPANHAMENTO!H:H,MATCH(A77,[1]ACOMPANHAMENTO!A:A,0))</f>
        <v>45717</v>
      </c>
      <c r="X77" s="11">
        <f t="shared" ca="1" si="1"/>
        <v>-216</v>
      </c>
    </row>
    <row r="78" spans="1:24" x14ac:dyDescent="0.3">
      <c r="A78" s="5">
        <v>92</v>
      </c>
      <c r="B78" s="21">
        <v>52</v>
      </c>
      <c r="C78" s="3" t="s">
        <v>41</v>
      </c>
      <c r="D78" s="4" t="s">
        <v>317</v>
      </c>
      <c r="E78" s="11" t="s">
        <v>2827</v>
      </c>
      <c r="F78" s="18" t="s">
        <v>577</v>
      </c>
      <c r="G78" s="3" t="s">
        <v>40</v>
      </c>
      <c r="H78" s="4" t="s">
        <v>316</v>
      </c>
      <c r="K78" s="8" t="s">
        <v>1052</v>
      </c>
      <c r="M78" s="35">
        <v>0.05</v>
      </c>
      <c r="S78" t="s">
        <v>1179</v>
      </c>
      <c r="T78" s="11" t="s">
        <v>1178</v>
      </c>
      <c r="U78" s="11" t="s">
        <v>577</v>
      </c>
      <c r="V78" s="11" t="s">
        <v>3194</v>
      </c>
      <c r="W78" s="54">
        <f>INDEX([1]ACOMPANHAMENTO!H:H,MATCH(A78,[1]ACOMPANHAMENTO!A:A,0))</f>
        <v>45962</v>
      </c>
      <c r="X78" s="11">
        <f t="shared" ca="1" si="1"/>
        <v>29</v>
      </c>
    </row>
    <row r="79" spans="1:24" x14ac:dyDescent="0.3">
      <c r="A79" s="5">
        <v>93</v>
      </c>
      <c r="B79" s="21">
        <v>138</v>
      </c>
      <c r="C79" s="3" t="s">
        <v>75</v>
      </c>
      <c r="D79" s="4" t="s">
        <v>339</v>
      </c>
      <c r="E79" s="11" t="s">
        <v>2827</v>
      </c>
      <c r="F79" s="18" t="s">
        <v>696</v>
      </c>
      <c r="G79" s="3" t="s">
        <v>76</v>
      </c>
      <c r="H79" s="4" t="s">
        <v>340</v>
      </c>
      <c r="K79" s="8" t="s">
        <v>1071</v>
      </c>
      <c r="S79" t="s">
        <v>1216</v>
      </c>
      <c r="T79" s="11" t="s">
        <v>1217</v>
      </c>
      <c r="U79" s="11" t="s">
        <v>696</v>
      </c>
      <c r="V79" s="11" t="s">
        <v>3422</v>
      </c>
      <c r="W79" s="54">
        <f>INDEX([1]ACOMPANHAMENTO!H:H,MATCH(A79,[1]ACOMPANHAMENTO!A:A,0))</f>
        <v>46235</v>
      </c>
      <c r="X79" s="11">
        <f t="shared" ca="1" si="1"/>
        <v>302</v>
      </c>
    </row>
    <row r="80" spans="1:24" x14ac:dyDescent="0.3">
      <c r="A80" s="5">
        <v>94</v>
      </c>
      <c r="B80" s="21">
        <v>5</v>
      </c>
      <c r="C80" s="3" t="s">
        <v>26</v>
      </c>
      <c r="D80" s="4" t="s">
        <v>306</v>
      </c>
      <c r="E80" s="11" t="s">
        <v>2827</v>
      </c>
      <c r="F80" s="18" t="s">
        <v>698</v>
      </c>
      <c r="G80" s="3" t="s">
        <v>25</v>
      </c>
      <c r="H80" s="4" t="s">
        <v>431</v>
      </c>
      <c r="K80" s="8" t="s">
        <v>1052</v>
      </c>
      <c r="Q80" s="11" t="s">
        <v>1072</v>
      </c>
      <c r="S80" t="s">
        <v>1219</v>
      </c>
      <c r="T80" s="11" t="s">
        <v>1218</v>
      </c>
      <c r="U80" s="11" t="s">
        <v>698</v>
      </c>
      <c r="V80" s="11" t="s">
        <v>2913</v>
      </c>
      <c r="W80" s="54">
        <f>INDEX([1]ACOMPANHAMENTO!H:H,MATCH(A80,[1]ACOMPANHAMENTO!A:A,0))</f>
        <v>45778</v>
      </c>
      <c r="X80" s="11">
        <f t="shared" ca="1" si="1"/>
        <v>-155</v>
      </c>
    </row>
    <row r="81" spans="1:24" x14ac:dyDescent="0.3">
      <c r="A81" s="5">
        <v>95</v>
      </c>
      <c r="B81" s="21">
        <v>170</v>
      </c>
      <c r="C81" s="3" t="s">
        <v>28</v>
      </c>
      <c r="D81" s="4" t="s">
        <v>308</v>
      </c>
      <c r="E81" s="11" t="s">
        <v>2827</v>
      </c>
      <c r="F81" s="18" t="s">
        <v>578</v>
      </c>
      <c r="G81" s="3" t="s">
        <v>77</v>
      </c>
      <c r="H81" s="4" t="s">
        <v>78</v>
      </c>
      <c r="K81" s="8" t="s">
        <v>1055</v>
      </c>
      <c r="M81" s="35">
        <v>0.02</v>
      </c>
      <c r="S81" t="s">
        <v>1492</v>
      </c>
      <c r="T81" s="11" t="s">
        <v>1220</v>
      </c>
      <c r="U81" s="11" t="s">
        <v>944</v>
      </c>
      <c r="V81" s="11" t="s">
        <v>3423</v>
      </c>
      <c r="W81" s="54">
        <f>INDEX([1]ACOMPANHAMENTO!H:H,MATCH(A81,[1]ACOMPANHAMENTO!A:A,0))</f>
        <v>45717</v>
      </c>
      <c r="X81" s="11">
        <f t="shared" ca="1" si="1"/>
        <v>-216</v>
      </c>
    </row>
    <row r="82" spans="1:24" x14ac:dyDescent="0.3">
      <c r="A82" s="5">
        <v>97</v>
      </c>
      <c r="B82" s="21">
        <v>20</v>
      </c>
      <c r="C82" s="3" t="s">
        <v>79</v>
      </c>
      <c r="D82" s="4" t="s">
        <v>341</v>
      </c>
      <c r="E82" s="11" t="s">
        <v>2827</v>
      </c>
      <c r="F82" s="18" t="s">
        <v>579</v>
      </c>
      <c r="G82" s="3" t="s">
        <v>80</v>
      </c>
      <c r="H82" s="4" t="s">
        <v>81</v>
      </c>
      <c r="K82" s="8" t="s">
        <v>1052</v>
      </c>
      <c r="M82" s="35">
        <v>0.03</v>
      </c>
      <c r="S82" t="s">
        <v>1493</v>
      </c>
      <c r="T82" s="11" t="s">
        <v>1221</v>
      </c>
      <c r="U82" s="11" t="s">
        <v>579</v>
      </c>
      <c r="V82" s="11" t="s">
        <v>3424</v>
      </c>
      <c r="W82" s="54">
        <f>INDEX([1]ACOMPANHAMENTO!H:H,MATCH(A82,[1]ACOMPANHAMENTO!A:A,0))</f>
        <v>45352</v>
      </c>
      <c r="X82" s="11">
        <f t="shared" ca="1" si="1"/>
        <v>-581</v>
      </c>
    </row>
    <row r="83" spans="1:24" x14ac:dyDescent="0.3">
      <c r="A83" s="5">
        <v>98</v>
      </c>
      <c r="B83" s="21">
        <v>21</v>
      </c>
      <c r="C83" s="3" t="s">
        <v>83</v>
      </c>
      <c r="D83" s="4" t="s">
        <v>343</v>
      </c>
      <c r="E83" s="11" t="s">
        <v>2827</v>
      </c>
      <c r="F83" s="18" t="s">
        <v>730</v>
      </c>
      <c r="G83" s="3" t="s">
        <v>82</v>
      </c>
      <c r="H83" s="4" t="s">
        <v>342</v>
      </c>
      <c r="K83" s="8" t="s">
        <v>1055</v>
      </c>
      <c r="Q83" s="11" t="s">
        <v>1073</v>
      </c>
      <c r="S83" t="s">
        <v>1223</v>
      </c>
      <c r="T83" s="11" t="s">
        <v>1222</v>
      </c>
      <c r="U83" s="11" t="s">
        <v>730</v>
      </c>
      <c r="V83" s="11" t="s">
        <v>2985</v>
      </c>
      <c r="W83" s="54">
        <f>INDEX([1]ACOMPANHAMENTO!H:H,MATCH(A83,[1]ACOMPANHAMENTO!A:A,0))</f>
        <v>46204</v>
      </c>
      <c r="X83" s="11">
        <f t="shared" ca="1" si="1"/>
        <v>271</v>
      </c>
    </row>
    <row r="84" spans="1:24" x14ac:dyDescent="0.3">
      <c r="A84" s="5">
        <v>99</v>
      </c>
      <c r="B84" s="21">
        <v>23</v>
      </c>
      <c r="C84" s="3" t="s">
        <v>84</v>
      </c>
      <c r="D84" s="4" t="s">
        <v>344</v>
      </c>
      <c r="E84" s="11" t="s">
        <v>2827</v>
      </c>
      <c r="F84" s="18" t="s">
        <v>794</v>
      </c>
      <c r="G84" s="3" t="s">
        <v>85</v>
      </c>
      <c r="H84" s="4" t="s">
        <v>345</v>
      </c>
      <c r="K84" s="8" t="s">
        <v>1074</v>
      </c>
      <c r="L84" s="32">
        <v>0.03</v>
      </c>
      <c r="S84" t="s">
        <v>1224</v>
      </c>
      <c r="T84" s="11" t="s">
        <v>1225</v>
      </c>
      <c r="U84" s="11" t="s">
        <v>794</v>
      </c>
      <c r="V84" s="11" t="s">
        <v>3081</v>
      </c>
      <c r="W84" s="54">
        <f>INDEX([1]ACOMPANHAMENTO!H:H,MATCH(A84,[1]ACOMPANHAMENTO!A:A,0))</f>
        <v>46082</v>
      </c>
      <c r="X84" s="11">
        <f t="shared" ca="1" si="1"/>
        <v>149</v>
      </c>
    </row>
    <row r="85" spans="1:24" x14ac:dyDescent="0.3">
      <c r="A85" s="5">
        <v>101</v>
      </c>
      <c r="B85" s="21">
        <v>56</v>
      </c>
      <c r="C85" s="3" t="s">
        <v>84</v>
      </c>
      <c r="D85" s="4" t="s">
        <v>344</v>
      </c>
      <c r="E85" s="11" t="s">
        <v>2827</v>
      </c>
      <c r="F85" s="18" t="s">
        <v>580</v>
      </c>
      <c r="G85" s="3" t="s">
        <v>86</v>
      </c>
      <c r="H85" s="4" t="s">
        <v>346</v>
      </c>
      <c r="K85" s="8" t="s">
        <v>1074</v>
      </c>
      <c r="L85" s="32">
        <v>0.03</v>
      </c>
      <c r="S85" t="s">
        <v>1226</v>
      </c>
      <c r="T85" s="11" t="s">
        <v>1227</v>
      </c>
      <c r="U85" s="11" t="s">
        <v>794</v>
      </c>
      <c r="V85" s="11" t="s">
        <v>3425</v>
      </c>
      <c r="W85" s="54">
        <f>INDEX([1]ACOMPANHAMENTO!H:H,MATCH(A85,[1]ACOMPANHAMENTO!A:A,0))</f>
        <v>45717</v>
      </c>
      <c r="X85" s="11">
        <f t="shared" ca="1" si="1"/>
        <v>-216</v>
      </c>
    </row>
    <row r="86" spans="1:24" x14ac:dyDescent="0.3">
      <c r="A86" s="5">
        <v>102</v>
      </c>
      <c r="B86" s="21">
        <v>55</v>
      </c>
      <c r="C86" s="3" t="s">
        <v>88</v>
      </c>
      <c r="D86" s="4" t="s">
        <v>104</v>
      </c>
      <c r="E86" s="11" t="s">
        <v>2827</v>
      </c>
      <c r="F86" s="18" t="s">
        <v>617</v>
      </c>
      <c r="G86" s="3" t="s">
        <v>87</v>
      </c>
      <c r="H86" s="4" t="s">
        <v>449</v>
      </c>
      <c r="K86" s="8" t="s">
        <v>1075</v>
      </c>
      <c r="M86" s="35">
        <v>5.0000000000000001E-3</v>
      </c>
      <c r="S86" t="s">
        <v>1229</v>
      </c>
      <c r="T86" s="11" t="s">
        <v>1228</v>
      </c>
      <c r="U86" s="11" t="s">
        <v>617</v>
      </c>
      <c r="V86" s="11" t="s">
        <v>2868</v>
      </c>
      <c r="W86" s="54">
        <f>INDEX([1]ACOMPANHAMENTO!H:H,MATCH(A86,[1]ACOMPANHAMENTO!A:A,0))</f>
        <v>45717</v>
      </c>
      <c r="X86" s="11">
        <f t="shared" ca="1" si="1"/>
        <v>-216</v>
      </c>
    </row>
    <row r="87" spans="1:24" x14ac:dyDescent="0.3">
      <c r="A87" s="5">
        <v>103</v>
      </c>
      <c r="B87" s="21">
        <v>50</v>
      </c>
      <c r="C87" s="3" t="s">
        <v>441</v>
      </c>
      <c r="D87" s="4" t="s">
        <v>440</v>
      </c>
      <c r="E87" s="11" t="s">
        <v>2827</v>
      </c>
      <c r="F87" s="18" t="s">
        <v>824</v>
      </c>
      <c r="G87" s="3" t="s">
        <v>443</v>
      </c>
      <c r="H87" s="4" t="s">
        <v>442</v>
      </c>
      <c r="K87" s="8" t="s">
        <v>1055</v>
      </c>
      <c r="L87" s="32">
        <v>0.01</v>
      </c>
      <c r="M87" s="35">
        <v>0.03</v>
      </c>
      <c r="S87" t="s">
        <v>1230</v>
      </c>
      <c r="T87" s="11" t="s">
        <v>1231</v>
      </c>
      <c r="U87" s="11" t="s">
        <v>824</v>
      </c>
      <c r="V87" s="11" t="s">
        <v>2903</v>
      </c>
      <c r="W87" s="54">
        <f>INDEX([1]ACOMPANHAMENTO!H:H,MATCH(A87,[1]ACOMPANHAMENTO!A:A,0))</f>
        <v>45809</v>
      </c>
      <c r="X87" s="11">
        <f t="shared" ca="1" si="1"/>
        <v>-124</v>
      </c>
    </row>
    <row r="88" spans="1:24" x14ac:dyDescent="0.3">
      <c r="A88" s="5">
        <v>104</v>
      </c>
      <c r="B88" s="21">
        <v>29</v>
      </c>
      <c r="C88" s="3" t="s">
        <v>55</v>
      </c>
      <c r="D88" s="4" t="s">
        <v>133</v>
      </c>
      <c r="E88" s="11" t="s">
        <v>2827</v>
      </c>
      <c r="F88" s="18" t="s">
        <v>883</v>
      </c>
      <c r="G88" s="3" t="s">
        <v>54</v>
      </c>
      <c r="H88" s="4" t="s">
        <v>329</v>
      </c>
      <c r="K88" s="8" t="s">
        <v>1067</v>
      </c>
      <c r="M88" s="35">
        <v>2.1999999999999999E-2</v>
      </c>
      <c r="S88" t="s">
        <v>1196</v>
      </c>
      <c r="T88" s="11" t="s">
        <v>1197</v>
      </c>
      <c r="U88" s="11" t="s">
        <v>883</v>
      </c>
      <c r="V88" s="11" t="s">
        <v>3186</v>
      </c>
      <c r="W88" s="54">
        <f>INDEX([1]ACOMPANHAMENTO!H:H,MATCH(A88,[1]ACOMPANHAMENTO!A:A,0))</f>
        <v>45748</v>
      </c>
      <c r="X88" s="11">
        <f t="shared" ca="1" si="1"/>
        <v>-185</v>
      </c>
    </row>
    <row r="89" spans="1:24" x14ac:dyDescent="0.3">
      <c r="A89" s="5">
        <v>105</v>
      </c>
      <c r="B89" s="21">
        <v>25</v>
      </c>
      <c r="C89" s="3" t="s">
        <v>4</v>
      </c>
      <c r="D89" s="4" t="s">
        <v>292</v>
      </c>
      <c r="E89" s="11" t="s">
        <v>2827</v>
      </c>
      <c r="F89" s="18" t="s">
        <v>581</v>
      </c>
      <c r="G89" s="3" t="s">
        <v>5</v>
      </c>
      <c r="H89" s="4" t="s">
        <v>293</v>
      </c>
      <c r="K89" s="8" t="s">
        <v>1053</v>
      </c>
      <c r="Q89" s="11" t="s">
        <v>1054</v>
      </c>
      <c r="S89" t="s">
        <v>1136</v>
      </c>
      <c r="T89" s="11" t="s">
        <v>1137</v>
      </c>
      <c r="U89" s="11" t="s">
        <v>820</v>
      </c>
      <c r="V89" s="11" t="s">
        <v>3100</v>
      </c>
      <c r="W89" s="54">
        <f>INDEX([1]ACOMPANHAMENTO!H:H,MATCH(A89,[1]ACOMPANHAMENTO!A:A,0))</f>
        <v>45931</v>
      </c>
      <c r="X89" s="11">
        <f t="shared" ca="1" si="1"/>
        <v>-2</v>
      </c>
    </row>
    <row r="90" spans="1:24" x14ac:dyDescent="0.3">
      <c r="A90" s="5">
        <v>106</v>
      </c>
      <c r="B90" s="21">
        <v>91</v>
      </c>
      <c r="C90" s="3" t="s">
        <v>89</v>
      </c>
      <c r="D90" s="4" t="s">
        <v>347</v>
      </c>
      <c r="E90" s="11" t="s">
        <v>2827</v>
      </c>
      <c r="F90" s="18" t="s">
        <v>582</v>
      </c>
      <c r="G90" s="3" t="s">
        <v>53</v>
      </c>
      <c r="H90" s="4" t="s">
        <v>328</v>
      </c>
      <c r="K90" s="8" t="s">
        <v>1077</v>
      </c>
      <c r="M90" s="35">
        <v>0.03</v>
      </c>
      <c r="S90" t="s">
        <v>1232</v>
      </c>
      <c r="T90" s="11" t="s">
        <v>1233</v>
      </c>
      <c r="U90" s="11" t="s">
        <v>721</v>
      </c>
      <c r="V90" s="11" t="s">
        <v>3426</v>
      </c>
      <c r="W90" s="54">
        <f>INDEX([1]ACOMPANHAMENTO!H:H,MATCH(A90,[1]ACOMPANHAMENTO!A:A,0))</f>
        <v>45717</v>
      </c>
      <c r="X90" s="11">
        <f t="shared" ca="1" si="1"/>
        <v>-216</v>
      </c>
    </row>
    <row r="91" spans="1:24" x14ac:dyDescent="0.3">
      <c r="A91" s="5">
        <v>107</v>
      </c>
      <c r="B91" s="21">
        <v>58</v>
      </c>
      <c r="C91" s="3" t="s">
        <v>91</v>
      </c>
      <c r="D91" s="4" t="s">
        <v>349</v>
      </c>
      <c r="E91" s="11" t="s">
        <v>2827</v>
      </c>
      <c r="F91" s="18" t="s">
        <v>670</v>
      </c>
      <c r="G91" s="3" t="s">
        <v>90</v>
      </c>
      <c r="H91" s="4" t="s">
        <v>348</v>
      </c>
      <c r="K91" s="8" t="s">
        <v>1052</v>
      </c>
      <c r="L91" s="32">
        <v>0.02</v>
      </c>
      <c r="S91" t="s">
        <v>1235</v>
      </c>
      <c r="T91" s="11" t="s">
        <v>1234</v>
      </c>
      <c r="U91" s="11" t="s">
        <v>670</v>
      </c>
      <c r="V91" s="11" t="s">
        <v>3427</v>
      </c>
      <c r="W91" s="54">
        <f>INDEX([1]ACOMPANHAMENTO!H:H,MATCH(A91,[1]ACOMPANHAMENTO!A:A,0))</f>
        <v>45717</v>
      </c>
      <c r="X91" s="11">
        <f t="shared" ca="1" si="1"/>
        <v>-216</v>
      </c>
    </row>
    <row r="92" spans="1:24" x14ac:dyDescent="0.3">
      <c r="A92" s="5">
        <v>108</v>
      </c>
      <c r="B92" s="21">
        <v>51</v>
      </c>
      <c r="C92" s="3" t="s">
        <v>67</v>
      </c>
      <c r="D92" s="4" t="s">
        <v>333</v>
      </c>
      <c r="E92" s="11" t="s">
        <v>2827</v>
      </c>
      <c r="F92" s="18" t="s">
        <v>583</v>
      </c>
      <c r="G92" s="3" t="s">
        <v>68</v>
      </c>
      <c r="H92" s="4" t="s">
        <v>69</v>
      </c>
      <c r="K92" s="8" t="s">
        <v>1055</v>
      </c>
      <c r="M92" s="35">
        <v>0.02</v>
      </c>
      <c r="S92" t="s">
        <v>1236</v>
      </c>
      <c r="T92" s="11" t="s">
        <v>1494</v>
      </c>
      <c r="U92" s="11" t="s">
        <v>573</v>
      </c>
      <c r="V92" s="11" t="s">
        <v>3428</v>
      </c>
      <c r="W92" s="54">
        <f>INDEX([1]ACOMPANHAMENTO!H:H,MATCH(A92,[1]ACOMPANHAMENTO!A:A,0))</f>
        <v>45717</v>
      </c>
      <c r="X92" s="11">
        <f t="shared" ca="1" si="1"/>
        <v>-216</v>
      </c>
    </row>
    <row r="93" spans="1:24" x14ac:dyDescent="0.3">
      <c r="A93" s="5">
        <v>109</v>
      </c>
      <c r="B93" s="21">
        <v>33</v>
      </c>
      <c r="C93" s="3" t="s">
        <v>92</v>
      </c>
      <c r="D93" s="4" t="s">
        <v>350</v>
      </c>
      <c r="E93" s="11" t="s">
        <v>2827</v>
      </c>
      <c r="F93" s="18" t="s">
        <v>746</v>
      </c>
      <c r="G93" s="3" t="s">
        <v>51</v>
      </c>
      <c r="H93" s="4" t="s">
        <v>134</v>
      </c>
      <c r="K93" s="8" t="s">
        <v>1067</v>
      </c>
      <c r="M93" s="35">
        <v>0.06</v>
      </c>
      <c r="S93" t="s">
        <v>1238</v>
      </c>
      <c r="T93" s="11" t="s">
        <v>1237</v>
      </c>
      <c r="U93" s="11" t="s">
        <v>746</v>
      </c>
      <c r="V93" s="11" t="s">
        <v>2904</v>
      </c>
      <c r="W93" s="54">
        <f>INDEX([1]ACOMPANHAMENTO!H:H,MATCH(A93,[1]ACOMPANHAMENTO!A:A,0))</f>
        <v>45962</v>
      </c>
      <c r="X93" s="11">
        <f t="shared" ca="1" si="1"/>
        <v>29</v>
      </c>
    </row>
    <row r="94" spans="1:24" x14ac:dyDescent="0.3">
      <c r="A94" s="5">
        <v>110</v>
      </c>
      <c r="B94" s="21">
        <v>160</v>
      </c>
      <c r="C94" s="3" t="s">
        <v>93</v>
      </c>
      <c r="D94" s="4" t="s">
        <v>94</v>
      </c>
      <c r="E94" s="11" t="s">
        <v>2827</v>
      </c>
      <c r="F94" s="18" t="s">
        <v>638</v>
      </c>
      <c r="G94" s="3" t="s">
        <v>51</v>
      </c>
      <c r="H94" s="4" t="s">
        <v>134</v>
      </c>
      <c r="K94" s="8" t="s">
        <v>1055</v>
      </c>
      <c r="M94" s="35">
        <v>0.06</v>
      </c>
      <c r="S94" t="s">
        <v>1239</v>
      </c>
      <c r="T94" s="11" t="s">
        <v>1240</v>
      </c>
      <c r="U94" s="11" t="s">
        <v>638</v>
      </c>
      <c r="V94" s="11" t="s">
        <v>2886</v>
      </c>
      <c r="W94" s="54">
        <f>INDEX([1]ACOMPANHAMENTO!H:H,MATCH(A94,[1]ACOMPANHAMENTO!A:A,0))</f>
        <v>45962</v>
      </c>
      <c r="X94" s="11">
        <f t="shared" ca="1" si="1"/>
        <v>29</v>
      </c>
    </row>
    <row r="95" spans="1:24" x14ac:dyDescent="0.3">
      <c r="A95" s="5">
        <v>111</v>
      </c>
      <c r="B95" s="21">
        <v>99</v>
      </c>
      <c r="C95" s="3" t="s">
        <v>95</v>
      </c>
      <c r="D95" s="4" t="s">
        <v>351</v>
      </c>
      <c r="E95" s="11" t="s">
        <v>2827</v>
      </c>
      <c r="F95" s="18" t="s">
        <v>852</v>
      </c>
      <c r="G95" s="3" t="s">
        <v>96</v>
      </c>
      <c r="H95" s="4" t="s">
        <v>103</v>
      </c>
      <c r="K95" s="8" t="s">
        <v>1052</v>
      </c>
      <c r="M95" s="35">
        <v>0.02</v>
      </c>
      <c r="S95" t="s">
        <v>1242</v>
      </c>
      <c r="T95" s="11" t="s">
        <v>1241</v>
      </c>
      <c r="U95" s="11" t="s">
        <v>852</v>
      </c>
      <c r="V95" s="11" t="s">
        <v>3429</v>
      </c>
      <c r="W95" s="54">
        <f>INDEX([1]ACOMPANHAMENTO!H:H,MATCH(A95,[1]ACOMPANHAMENTO!A:A,0))</f>
        <v>45809</v>
      </c>
      <c r="X95" s="11">
        <f t="shared" ca="1" si="1"/>
        <v>-124</v>
      </c>
    </row>
    <row r="96" spans="1:24" x14ac:dyDescent="0.3">
      <c r="A96" s="5">
        <v>112</v>
      </c>
      <c r="B96" s="21">
        <v>39</v>
      </c>
      <c r="C96" s="3" t="s">
        <v>39</v>
      </c>
      <c r="D96" s="4" t="s">
        <v>315</v>
      </c>
      <c r="E96" s="11" t="s">
        <v>2827</v>
      </c>
      <c r="F96" s="18" t="s">
        <v>675</v>
      </c>
      <c r="G96" s="3" t="s">
        <v>38</v>
      </c>
      <c r="H96" s="4" t="s">
        <v>314</v>
      </c>
      <c r="K96" s="8" t="s">
        <v>1061</v>
      </c>
      <c r="M96" s="35">
        <v>0.03</v>
      </c>
      <c r="S96" t="s">
        <v>1176</v>
      </c>
      <c r="T96" s="11" t="s">
        <v>1177</v>
      </c>
      <c r="U96" s="11" t="s">
        <v>675</v>
      </c>
      <c r="V96" s="11" t="s">
        <v>2833</v>
      </c>
      <c r="W96" s="54">
        <f>INDEX([1]ACOMPANHAMENTO!H:H,MATCH(A96,[1]ACOMPANHAMENTO!A:A,0))</f>
        <v>45931</v>
      </c>
      <c r="X96" s="11">
        <f t="shared" ca="1" si="1"/>
        <v>-2</v>
      </c>
    </row>
    <row r="97" spans="1:24" x14ac:dyDescent="0.3">
      <c r="A97" s="5">
        <v>113</v>
      </c>
      <c r="B97" s="21">
        <v>99</v>
      </c>
      <c r="C97" s="3" t="s">
        <v>95</v>
      </c>
      <c r="D97" s="4" t="s">
        <v>351</v>
      </c>
      <c r="E97" s="11" t="s">
        <v>2827</v>
      </c>
      <c r="F97" s="18" t="s">
        <v>622</v>
      </c>
      <c r="G97" s="3" t="s">
        <v>96</v>
      </c>
      <c r="H97" s="4" t="s">
        <v>103</v>
      </c>
      <c r="K97" s="8" t="s">
        <v>1052</v>
      </c>
      <c r="M97" s="35">
        <v>0.02</v>
      </c>
      <c r="S97" t="s">
        <v>1242</v>
      </c>
      <c r="T97" s="11" t="s">
        <v>1241</v>
      </c>
      <c r="U97" s="11" t="s">
        <v>852</v>
      </c>
      <c r="V97" s="11" t="s">
        <v>3430</v>
      </c>
      <c r="W97" s="54">
        <f>INDEX([1]ACOMPANHAMENTO!H:H,MATCH(A97,[1]ACOMPANHAMENTO!A:A,0))</f>
        <v>45809</v>
      </c>
      <c r="X97" s="11">
        <f t="shared" ca="1" si="1"/>
        <v>-124</v>
      </c>
    </row>
    <row r="98" spans="1:24" x14ac:dyDescent="0.3">
      <c r="A98" s="5">
        <v>114</v>
      </c>
      <c r="B98" s="21">
        <v>94</v>
      </c>
      <c r="C98" s="3" t="s">
        <v>98</v>
      </c>
      <c r="D98" s="4" t="s">
        <v>352</v>
      </c>
      <c r="E98" s="11" t="s">
        <v>2827</v>
      </c>
      <c r="F98" s="18" t="s">
        <v>584</v>
      </c>
      <c r="G98" s="3" t="s">
        <v>97</v>
      </c>
      <c r="H98" s="4" t="s">
        <v>99</v>
      </c>
      <c r="K98" s="8" t="s">
        <v>1052</v>
      </c>
      <c r="M98" s="35">
        <v>0.03</v>
      </c>
      <c r="S98" t="s">
        <v>1243</v>
      </c>
      <c r="T98" s="11" t="s">
        <v>1244</v>
      </c>
      <c r="U98" s="11" t="s">
        <v>584</v>
      </c>
      <c r="V98" s="11" t="s">
        <v>3431</v>
      </c>
      <c r="W98" s="54">
        <f>INDEX([1]ACOMPANHAMENTO!H:H,MATCH(A98,[1]ACOMPANHAMENTO!A:A,0))</f>
        <v>45901</v>
      </c>
      <c r="X98" s="11">
        <f t="shared" ca="1" si="1"/>
        <v>-32</v>
      </c>
    </row>
    <row r="99" spans="1:24" x14ac:dyDescent="0.3">
      <c r="A99" s="5">
        <v>115</v>
      </c>
      <c r="B99" s="21">
        <v>143</v>
      </c>
      <c r="C99" s="3" t="s">
        <v>6</v>
      </c>
      <c r="D99" s="4" t="s">
        <v>430</v>
      </c>
      <c r="E99" s="11" t="s">
        <v>2827</v>
      </c>
      <c r="F99" s="18" t="s">
        <v>585</v>
      </c>
      <c r="G99" s="3" t="s">
        <v>97</v>
      </c>
      <c r="H99" s="4" t="s">
        <v>99</v>
      </c>
      <c r="K99" s="8" t="s">
        <v>1079</v>
      </c>
      <c r="M99" s="35">
        <v>0.04</v>
      </c>
      <c r="S99" t="s">
        <v>1245</v>
      </c>
      <c r="T99" s="11" t="s">
        <v>1172</v>
      </c>
      <c r="U99" s="11" t="s">
        <v>585</v>
      </c>
      <c r="V99" s="11" t="s">
        <v>2883</v>
      </c>
      <c r="W99" s="54">
        <f>INDEX([1]ACOMPANHAMENTO!H:H,MATCH(A99,[1]ACOMPANHAMENTO!A:A,0))</f>
        <v>45717</v>
      </c>
      <c r="X99" s="11">
        <f t="shared" ca="1" si="1"/>
        <v>-216</v>
      </c>
    </row>
    <row r="100" spans="1:24" x14ac:dyDescent="0.3">
      <c r="A100" s="5">
        <v>117</v>
      </c>
      <c r="B100" s="21">
        <v>22</v>
      </c>
      <c r="C100" s="3" t="s">
        <v>89</v>
      </c>
      <c r="D100" s="4" t="s">
        <v>347</v>
      </c>
      <c r="E100" s="11" t="s">
        <v>2827</v>
      </c>
      <c r="F100" s="18" t="s">
        <v>721</v>
      </c>
      <c r="G100" s="3" t="s">
        <v>100</v>
      </c>
      <c r="H100" s="4" t="s">
        <v>353</v>
      </c>
      <c r="K100" s="8" t="s">
        <v>1052</v>
      </c>
      <c r="M100" s="35">
        <v>0.04</v>
      </c>
      <c r="S100" t="s">
        <v>1246</v>
      </c>
      <c r="T100" s="11" t="s">
        <v>1233</v>
      </c>
      <c r="U100" s="11" t="s">
        <v>721</v>
      </c>
      <c r="V100" s="11" t="s">
        <v>3432</v>
      </c>
      <c r="W100" s="54">
        <f>INDEX([1]ACOMPANHAMENTO!H:H,MATCH(A100,[1]ACOMPANHAMENTO!A:A,0))</f>
        <v>46113</v>
      </c>
      <c r="X100" s="11">
        <f t="shared" ca="1" si="1"/>
        <v>180</v>
      </c>
    </row>
    <row r="101" spans="1:24" x14ac:dyDescent="0.3">
      <c r="A101" s="5">
        <v>118</v>
      </c>
      <c r="B101" s="21">
        <v>24</v>
      </c>
      <c r="C101" s="3" t="s">
        <v>89</v>
      </c>
      <c r="D101" s="4" t="s">
        <v>347</v>
      </c>
      <c r="E101" s="11" t="s">
        <v>2827</v>
      </c>
      <c r="F101" s="18" t="s">
        <v>586</v>
      </c>
      <c r="G101" s="3" t="s">
        <v>100</v>
      </c>
      <c r="H101" s="4" t="s">
        <v>353</v>
      </c>
      <c r="K101" s="8" t="s">
        <v>1052</v>
      </c>
      <c r="M101" s="35">
        <v>0.03</v>
      </c>
      <c r="S101" t="s">
        <v>1247</v>
      </c>
      <c r="T101" s="11" t="s">
        <v>1248</v>
      </c>
      <c r="U101" s="11" t="s">
        <v>721</v>
      </c>
      <c r="V101" s="11" t="s">
        <v>3433</v>
      </c>
      <c r="W101" s="54">
        <f>INDEX([1]ACOMPANHAMENTO!H:H,MATCH(A101,[1]ACOMPANHAMENTO!A:A,0))</f>
        <v>46113</v>
      </c>
      <c r="X101" s="11">
        <f t="shared" ca="1" si="1"/>
        <v>180</v>
      </c>
    </row>
    <row r="102" spans="1:24" x14ac:dyDescent="0.3">
      <c r="A102" s="5">
        <v>120</v>
      </c>
      <c r="B102" s="21">
        <v>74</v>
      </c>
      <c r="C102" s="3" t="s">
        <v>47</v>
      </c>
      <c r="D102" s="4" t="s">
        <v>323</v>
      </c>
      <c r="E102" s="11" t="s">
        <v>2827</v>
      </c>
      <c r="F102" s="18" t="s">
        <v>587</v>
      </c>
      <c r="G102" s="3" t="s">
        <v>46</v>
      </c>
      <c r="H102" s="4" t="s">
        <v>322</v>
      </c>
      <c r="K102" s="8" t="s">
        <v>1052</v>
      </c>
      <c r="M102" s="35">
        <v>0.03</v>
      </c>
      <c r="S102" t="s">
        <v>1249</v>
      </c>
      <c r="T102" s="11" t="s">
        <v>1250</v>
      </c>
      <c r="U102" s="11" t="s">
        <v>3610</v>
      </c>
      <c r="V102" s="11" t="s">
        <v>2884</v>
      </c>
      <c r="W102" s="54">
        <f>INDEX([1]ACOMPANHAMENTO!H:H,MATCH(A102,[1]ACOMPANHAMENTO!A:A,0))</f>
        <v>45352</v>
      </c>
      <c r="X102" s="11">
        <f t="shared" ca="1" si="1"/>
        <v>-581</v>
      </c>
    </row>
    <row r="103" spans="1:24" x14ac:dyDescent="0.3">
      <c r="A103" s="5">
        <v>121</v>
      </c>
      <c r="B103" s="21">
        <v>147</v>
      </c>
      <c r="C103" s="3" t="s">
        <v>446</v>
      </c>
      <c r="D103" s="4" t="s">
        <v>445</v>
      </c>
      <c r="E103" s="11" t="s">
        <v>2827</v>
      </c>
      <c r="F103" s="18" t="s">
        <v>588</v>
      </c>
      <c r="G103" s="3" t="s">
        <v>439</v>
      </c>
      <c r="H103" s="4" t="s">
        <v>438</v>
      </c>
      <c r="K103" s="8" t="s">
        <v>1055</v>
      </c>
      <c r="L103" s="32">
        <v>0.03</v>
      </c>
      <c r="S103" t="s">
        <v>1198</v>
      </c>
      <c r="T103" s="11" t="s">
        <v>1251</v>
      </c>
      <c r="U103" s="11" t="s">
        <v>588</v>
      </c>
      <c r="V103" s="11" t="s">
        <v>3434</v>
      </c>
      <c r="W103" s="54">
        <f>INDEX([1]ACOMPANHAMENTO!H:H,MATCH(A103,[1]ACOMPANHAMENTO!A:A,0))</f>
        <v>45809</v>
      </c>
      <c r="X103" s="11">
        <f t="shared" ca="1" si="1"/>
        <v>-124</v>
      </c>
    </row>
    <row r="104" spans="1:24" x14ac:dyDescent="0.3">
      <c r="A104" s="5">
        <v>122</v>
      </c>
      <c r="B104" s="21">
        <v>43</v>
      </c>
      <c r="C104" s="3" t="s">
        <v>58</v>
      </c>
      <c r="D104" s="4" t="s">
        <v>59</v>
      </c>
      <c r="E104" s="11" t="s">
        <v>2827</v>
      </c>
      <c r="F104" s="18" t="s">
        <v>715</v>
      </c>
      <c r="G104" s="3" t="s">
        <v>56</v>
      </c>
      <c r="H104" s="4" t="s">
        <v>57</v>
      </c>
      <c r="K104" s="8" t="s">
        <v>1052</v>
      </c>
      <c r="M104" s="35">
        <v>0.03</v>
      </c>
      <c r="S104" t="s">
        <v>1200</v>
      </c>
      <c r="T104" s="11" t="s">
        <v>1201</v>
      </c>
      <c r="U104" s="11" t="s">
        <v>3612</v>
      </c>
      <c r="V104" s="11" t="s">
        <v>3127</v>
      </c>
      <c r="W104" s="54">
        <f>INDEX([1]ACOMPANHAMENTO!H:H,MATCH(A104,[1]ACOMPANHAMENTO!A:A,0))</f>
        <v>45748</v>
      </c>
      <c r="X104" s="11">
        <f t="shared" ca="1" si="1"/>
        <v>-185</v>
      </c>
    </row>
    <row r="105" spans="1:24" x14ac:dyDescent="0.3">
      <c r="A105" s="5">
        <v>123</v>
      </c>
      <c r="B105" s="21">
        <v>76</v>
      </c>
      <c r="C105" s="3" t="s">
        <v>102</v>
      </c>
      <c r="D105" s="4" t="s">
        <v>355</v>
      </c>
      <c r="E105" s="11" t="s">
        <v>2827</v>
      </c>
      <c r="F105" s="18" t="s">
        <v>601</v>
      </c>
      <c r="G105" s="3" t="s">
        <v>101</v>
      </c>
      <c r="H105" s="4" t="s">
        <v>354</v>
      </c>
      <c r="K105" s="8" t="s">
        <v>1065</v>
      </c>
      <c r="S105" t="s">
        <v>1252</v>
      </c>
      <c r="T105" s="11" t="s">
        <v>1253</v>
      </c>
      <c r="U105" s="11" t="s">
        <v>601</v>
      </c>
      <c r="V105" s="11" t="s">
        <v>2885</v>
      </c>
      <c r="W105" s="54">
        <f>INDEX([1]ACOMPANHAMENTO!H:H,MATCH(A105,[1]ACOMPANHAMENTO!A:A,0))</f>
        <v>45778</v>
      </c>
      <c r="X105" s="11">
        <f t="shared" ca="1" si="1"/>
        <v>-155</v>
      </c>
    </row>
    <row r="106" spans="1:24" x14ac:dyDescent="0.3">
      <c r="A106" s="5">
        <v>124</v>
      </c>
      <c r="B106" s="21">
        <v>99</v>
      </c>
      <c r="C106" s="3" t="s">
        <v>95</v>
      </c>
      <c r="D106" s="4" t="s">
        <v>351</v>
      </c>
      <c r="E106" s="11" t="s">
        <v>2827</v>
      </c>
      <c r="F106" s="18" t="s">
        <v>589</v>
      </c>
      <c r="G106" s="3" t="s">
        <v>96</v>
      </c>
      <c r="H106" s="4" t="s">
        <v>103</v>
      </c>
      <c r="K106" s="8" t="s">
        <v>1052</v>
      </c>
      <c r="M106" s="35">
        <v>0.02</v>
      </c>
      <c r="S106" t="s">
        <v>1242</v>
      </c>
      <c r="T106" s="11" t="s">
        <v>1241</v>
      </c>
      <c r="U106" s="11" t="s">
        <v>852</v>
      </c>
      <c r="V106" s="11" t="s">
        <v>3435</v>
      </c>
      <c r="W106" s="54">
        <f>INDEX([1]ACOMPANHAMENTO!H:H,MATCH(A106,[1]ACOMPANHAMENTO!A:A,0))</f>
        <v>45809</v>
      </c>
      <c r="X106" s="11">
        <f t="shared" ca="1" si="1"/>
        <v>-124</v>
      </c>
    </row>
    <row r="107" spans="1:24" x14ac:dyDescent="0.3">
      <c r="A107" s="5">
        <v>126</v>
      </c>
      <c r="B107" s="21">
        <v>55</v>
      </c>
      <c r="C107" s="3" t="s">
        <v>88</v>
      </c>
      <c r="D107" s="4" t="s">
        <v>104</v>
      </c>
      <c r="E107" s="11" t="s">
        <v>2827</v>
      </c>
      <c r="F107" s="18" t="s">
        <v>590</v>
      </c>
      <c r="G107" s="3" t="s">
        <v>87</v>
      </c>
      <c r="H107" s="4" t="s">
        <v>449</v>
      </c>
      <c r="K107" s="8" t="s">
        <v>1075</v>
      </c>
      <c r="M107" s="35">
        <v>5.0000000000000001E-3</v>
      </c>
      <c r="S107" t="s">
        <v>1229</v>
      </c>
      <c r="T107" s="11" t="s">
        <v>1228</v>
      </c>
      <c r="U107" s="11" t="s">
        <v>617</v>
      </c>
      <c r="V107" s="11" t="s">
        <v>2997</v>
      </c>
      <c r="W107" s="54">
        <f>INDEX([1]ACOMPANHAMENTO!H:H,MATCH(A107,[1]ACOMPANHAMENTO!A:A,0))</f>
        <v>45717</v>
      </c>
      <c r="X107" s="11">
        <f t="shared" ca="1" si="1"/>
        <v>-216</v>
      </c>
    </row>
    <row r="108" spans="1:24" x14ac:dyDescent="0.3">
      <c r="A108" s="5">
        <v>127</v>
      </c>
      <c r="B108" s="21">
        <v>77</v>
      </c>
      <c r="C108" s="3" t="s">
        <v>105</v>
      </c>
      <c r="D108" s="4" t="s">
        <v>356</v>
      </c>
      <c r="E108" s="11" t="s">
        <v>2827</v>
      </c>
      <c r="F108" s="18" t="s">
        <v>694</v>
      </c>
      <c r="G108" s="3" t="s">
        <v>106</v>
      </c>
      <c r="H108" s="4" t="s">
        <v>117</v>
      </c>
      <c r="K108" s="8" t="s">
        <v>1067</v>
      </c>
      <c r="M108" s="35">
        <v>2.5000000000000001E-2</v>
      </c>
      <c r="S108" t="s">
        <v>1254</v>
      </c>
      <c r="T108" s="11" t="s">
        <v>1255</v>
      </c>
      <c r="U108" s="11" t="s">
        <v>694</v>
      </c>
      <c r="V108" s="11" t="s">
        <v>3054</v>
      </c>
      <c r="W108" s="54">
        <f>INDEX([1]ACOMPANHAMENTO!H:H,MATCH(A108,[1]ACOMPANHAMENTO!A:A,0))</f>
        <v>45717</v>
      </c>
      <c r="X108" s="11">
        <f t="shared" ca="1" si="1"/>
        <v>-216</v>
      </c>
    </row>
    <row r="109" spans="1:24" x14ac:dyDescent="0.3">
      <c r="A109" s="5">
        <v>128</v>
      </c>
      <c r="B109" s="21">
        <v>146</v>
      </c>
      <c r="C109" s="3" t="s">
        <v>26</v>
      </c>
      <c r="D109" s="4" t="s">
        <v>306</v>
      </c>
      <c r="E109" s="11" t="s">
        <v>2827</v>
      </c>
      <c r="F109" s="18" t="s">
        <v>591</v>
      </c>
      <c r="G109" s="3" t="s">
        <v>25</v>
      </c>
      <c r="H109" s="4" t="s">
        <v>431</v>
      </c>
      <c r="K109" s="8" t="s">
        <v>1052</v>
      </c>
      <c r="Q109" s="11" t="s">
        <v>1057</v>
      </c>
      <c r="S109" t="s">
        <v>1160</v>
      </c>
      <c r="T109" s="11" t="s">
        <v>1161</v>
      </c>
      <c r="U109" s="11" t="s">
        <v>698</v>
      </c>
      <c r="V109" s="11" t="s">
        <v>2977</v>
      </c>
      <c r="W109" s="54">
        <f>INDEX([1]ACOMPANHAMENTO!H:H,MATCH(A109,[1]ACOMPANHAMENTO!A:A,0))</f>
        <v>45778</v>
      </c>
      <c r="X109" s="11">
        <f t="shared" ca="1" si="1"/>
        <v>-155</v>
      </c>
    </row>
    <row r="110" spans="1:24" x14ac:dyDescent="0.3">
      <c r="A110" s="5">
        <v>129</v>
      </c>
      <c r="B110" s="21">
        <v>57</v>
      </c>
      <c r="C110" s="3" t="s">
        <v>92</v>
      </c>
      <c r="D110" s="4" t="s">
        <v>350</v>
      </c>
      <c r="E110" s="11" t="s">
        <v>2827</v>
      </c>
      <c r="F110" s="18" t="s">
        <v>592</v>
      </c>
      <c r="G110" s="3" t="s">
        <v>96</v>
      </c>
      <c r="H110" s="4" t="s">
        <v>103</v>
      </c>
      <c r="K110" s="8" t="s">
        <v>1052</v>
      </c>
      <c r="L110" s="32">
        <v>0.03</v>
      </c>
      <c r="S110" t="s">
        <v>1242</v>
      </c>
      <c r="T110" s="11" t="s">
        <v>1256</v>
      </c>
      <c r="U110" s="11" t="s">
        <v>746</v>
      </c>
      <c r="V110" s="11" t="s">
        <v>3436</v>
      </c>
      <c r="W110" s="54">
        <f>INDEX([1]ACOMPANHAMENTO!H:H,MATCH(A110,[1]ACOMPANHAMENTO!A:A,0))</f>
        <v>45809</v>
      </c>
      <c r="X110" s="11">
        <f t="shared" ca="1" si="1"/>
        <v>-124</v>
      </c>
    </row>
    <row r="111" spans="1:24" x14ac:dyDescent="0.3">
      <c r="A111" s="5">
        <v>130</v>
      </c>
      <c r="B111" s="21">
        <v>159</v>
      </c>
      <c r="C111" s="3" t="s">
        <v>102</v>
      </c>
      <c r="D111" s="4" t="s">
        <v>355</v>
      </c>
      <c r="E111" s="11" t="s">
        <v>2827</v>
      </c>
      <c r="F111" s="18" t="s">
        <v>593</v>
      </c>
      <c r="G111" s="3" t="s">
        <v>3</v>
      </c>
      <c r="H111" s="4" t="s">
        <v>7</v>
      </c>
      <c r="K111" s="8" t="s">
        <v>1052</v>
      </c>
      <c r="M111" s="35">
        <v>0.05</v>
      </c>
      <c r="S111" t="s">
        <v>1257</v>
      </c>
      <c r="T111" s="11" t="s">
        <v>1258</v>
      </c>
      <c r="U111" s="11" t="s">
        <v>601</v>
      </c>
      <c r="V111" s="11" t="s">
        <v>3163</v>
      </c>
      <c r="W111" s="54">
        <f>INDEX([1]ACOMPANHAMENTO!H:H,MATCH(A111,[1]ACOMPANHAMENTO!A:A,0))</f>
        <v>45778</v>
      </c>
      <c r="X111" s="11">
        <f t="shared" ca="1" si="1"/>
        <v>-155</v>
      </c>
    </row>
    <row r="112" spans="1:24" x14ac:dyDescent="0.3">
      <c r="A112" s="5">
        <v>131</v>
      </c>
      <c r="B112" s="21">
        <v>79</v>
      </c>
      <c r="C112" s="3" t="s">
        <v>107</v>
      </c>
      <c r="D112" s="4" t="s">
        <v>108</v>
      </c>
      <c r="E112" s="11" t="s">
        <v>2827</v>
      </c>
      <c r="F112" s="18" t="s">
        <v>594</v>
      </c>
      <c r="G112" s="3" t="s">
        <v>87</v>
      </c>
      <c r="H112" s="4" t="s">
        <v>449</v>
      </c>
      <c r="K112" s="8" t="s">
        <v>1065</v>
      </c>
      <c r="S112" t="s">
        <v>1260</v>
      </c>
      <c r="T112" s="11" t="s">
        <v>1259</v>
      </c>
      <c r="U112" s="11" t="s">
        <v>3619</v>
      </c>
      <c r="V112" s="11" t="s">
        <v>3104</v>
      </c>
      <c r="W112" s="54">
        <f>INDEX([1]ACOMPANHAMENTO!H:H,MATCH(A112,[1]ACOMPANHAMENTO!A:A,0))</f>
        <v>46082</v>
      </c>
      <c r="X112" s="11">
        <f t="shared" ca="1" si="1"/>
        <v>149</v>
      </c>
    </row>
    <row r="113" spans="1:24" x14ac:dyDescent="0.3">
      <c r="A113" s="5">
        <v>132</v>
      </c>
      <c r="B113" s="21">
        <v>79</v>
      </c>
      <c r="C113" s="3" t="s">
        <v>107</v>
      </c>
      <c r="D113" s="4" t="s">
        <v>108</v>
      </c>
      <c r="E113" s="11" t="s">
        <v>2827</v>
      </c>
      <c r="F113" s="18" t="s">
        <v>595</v>
      </c>
      <c r="G113" s="3" t="s">
        <v>87</v>
      </c>
      <c r="H113" s="4" t="s">
        <v>449</v>
      </c>
      <c r="K113" s="8" t="s">
        <v>1065</v>
      </c>
      <c r="S113" t="s">
        <v>1260</v>
      </c>
      <c r="T113" s="11" t="s">
        <v>1259</v>
      </c>
      <c r="U113" s="11" t="s">
        <v>3619</v>
      </c>
      <c r="V113" s="11" t="s">
        <v>3095</v>
      </c>
      <c r="W113" s="54">
        <f>INDEX([1]ACOMPANHAMENTO!H:H,MATCH(A113,[1]ACOMPANHAMENTO!A:A,0))</f>
        <v>46082</v>
      </c>
      <c r="X113" s="11">
        <f t="shared" ca="1" si="1"/>
        <v>149</v>
      </c>
    </row>
    <row r="114" spans="1:24" x14ac:dyDescent="0.3">
      <c r="A114" s="5">
        <v>133</v>
      </c>
      <c r="B114" s="21">
        <v>229</v>
      </c>
      <c r="C114" s="3" t="s">
        <v>55</v>
      </c>
      <c r="D114" s="4" t="s">
        <v>133</v>
      </c>
      <c r="E114" s="11" t="s">
        <v>2827</v>
      </c>
      <c r="F114" s="18" t="s">
        <v>596</v>
      </c>
      <c r="G114" s="3" t="s">
        <v>3</v>
      </c>
      <c r="H114" s="4" t="s">
        <v>7</v>
      </c>
      <c r="K114" s="8" t="s">
        <v>1052</v>
      </c>
      <c r="M114" s="35">
        <v>0.02</v>
      </c>
      <c r="S114" t="s">
        <v>1261</v>
      </c>
      <c r="T114" s="11" t="s">
        <v>1262</v>
      </c>
      <c r="U114" s="11" t="s">
        <v>883</v>
      </c>
      <c r="V114" s="11" t="s">
        <v>3437</v>
      </c>
      <c r="W114" s="54">
        <f>INDEX([1]ACOMPANHAMENTO!H:H,MATCH(A114,[1]ACOMPANHAMENTO!A:A,0))</f>
        <v>45717</v>
      </c>
      <c r="X114" s="11">
        <f t="shared" ca="1" si="1"/>
        <v>-216</v>
      </c>
    </row>
    <row r="115" spans="1:24" x14ac:dyDescent="0.3">
      <c r="A115" s="5">
        <v>134</v>
      </c>
      <c r="B115" s="21">
        <v>80</v>
      </c>
      <c r="C115" s="3" t="s">
        <v>111</v>
      </c>
      <c r="D115" s="4" t="s">
        <v>450</v>
      </c>
      <c r="E115" s="11" t="s">
        <v>2827</v>
      </c>
      <c r="F115" s="18" t="s">
        <v>597</v>
      </c>
      <c r="G115" s="3" t="s">
        <v>109</v>
      </c>
      <c r="H115" s="4" t="s">
        <v>110</v>
      </c>
      <c r="K115" s="8" t="s">
        <v>1055</v>
      </c>
      <c r="S115" t="s">
        <v>1263</v>
      </c>
      <c r="T115" s="11" t="s">
        <v>1264</v>
      </c>
      <c r="U115" s="11" t="s">
        <v>3620</v>
      </c>
      <c r="V115" s="11" t="s">
        <v>3438</v>
      </c>
      <c r="W115" s="54">
        <f>INDEX([1]ACOMPANHAMENTO!H:H,MATCH(A115,[1]ACOMPANHAMENTO!A:A,0))</f>
        <v>45809</v>
      </c>
      <c r="X115" s="11">
        <f t="shared" ca="1" si="1"/>
        <v>-124</v>
      </c>
    </row>
    <row r="116" spans="1:24" x14ac:dyDescent="0.3">
      <c r="A116" s="5">
        <v>135</v>
      </c>
      <c r="B116" s="21">
        <v>96</v>
      </c>
      <c r="C116" s="3" t="s">
        <v>112</v>
      </c>
      <c r="D116" s="4" t="s">
        <v>357</v>
      </c>
      <c r="E116" s="11" t="s">
        <v>2827</v>
      </c>
      <c r="F116" s="18" t="s">
        <v>598</v>
      </c>
      <c r="G116" s="3" t="s">
        <v>96</v>
      </c>
      <c r="H116" s="4" t="s">
        <v>103</v>
      </c>
      <c r="K116" s="8" t="s">
        <v>1052</v>
      </c>
      <c r="M116" s="35">
        <v>0.02</v>
      </c>
      <c r="S116" t="s">
        <v>1242</v>
      </c>
      <c r="T116" s="11" t="s">
        <v>1265</v>
      </c>
      <c r="U116" s="11" t="s">
        <v>598</v>
      </c>
      <c r="V116" s="11" t="s">
        <v>3270</v>
      </c>
      <c r="W116" s="54">
        <f>INDEX([1]ACOMPANHAMENTO!H:H,MATCH(A116,[1]ACOMPANHAMENTO!A:A,0))</f>
        <v>45809</v>
      </c>
      <c r="X116" s="11">
        <f t="shared" ca="1" si="1"/>
        <v>-124</v>
      </c>
    </row>
    <row r="117" spans="1:24" x14ac:dyDescent="0.3">
      <c r="A117" s="5">
        <v>136</v>
      </c>
      <c r="B117" s="21">
        <v>80</v>
      </c>
      <c r="C117" s="3" t="s">
        <v>111</v>
      </c>
      <c r="D117" s="4" t="s">
        <v>450</v>
      </c>
      <c r="E117" s="11" t="s">
        <v>2827</v>
      </c>
      <c r="F117" s="18" t="s">
        <v>599</v>
      </c>
      <c r="G117" s="3" t="s">
        <v>109</v>
      </c>
      <c r="H117" s="4" t="s">
        <v>110</v>
      </c>
      <c r="K117" s="8" t="s">
        <v>1055</v>
      </c>
      <c r="S117" t="s">
        <v>1263</v>
      </c>
      <c r="T117" s="11" t="s">
        <v>1264</v>
      </c>
      <c r="U117" s="11" t="s">
        <v>3620</v>
      </c>
      <c r="V117" s="11" t="s">
        <v>3439</v>
      </c>
      <c r="W117" s="54">
        <f>INDEX([1]ACOMPANHAMENTO!H:H,MATCH(A117,[1]ACOMPANHAMENTO!A:A,0))</f>
        <v>45809</v>
      </c>
      <c r="X117" s="11">
        <f t="shared" ca="1" si="1"/>
        <v>-124</v>
      </c>
    </row>
    <row r="118" spans="1:24" x14ac:dyDescent="0.3">
      <c r="A118" s="5">
        <v>137</v>
      </c>
      <c r="B118" s="21">
        <v>82</v>
      </c>
      <c r="C118" s="3" t="s">
        <v>115</v>
      </c>
      <c r="D118" s="4" t="s">
        <v>116</v>
      </c>
      <c r="E118" s="11" t="s">
        <v>2827</v>
      </c>
      <c r="F118" s="18" t="s">
        <v>768</v>
      </c>
      <c r="G118" s="3" t="s">
        <v>113</v>
      </c>
      <c r="H118" s="4" t="s">
        <v>114</v>
      </c>
      <c r="K118" s="8" t="s">
        <v>1067</v>
      </c>
      <c r="S118" t="s">
        <v>1266</v>
      </c>
      <c r="T118" s="11" t="s">
        <v>1267</v>
      </c>
      <c r="U118" s="11" t="s">
        <v>768</v>
      </c>
      <c r="V118" s="11" t="s">
        <v>3185</v>
      </c>
      <c r="W118" s="54">
        <f>INDEX([1]ACOMPANHAMENTO!H:H,MATCH(A118,[1]ACOMPANHAMENTO!A:A,0))</f>
        <v>45962</v>
      </c>
      <c r="X118" s="11">
        <f t="shared" ca="1" si="1"/>
        <v>29</v>
      </c>
    </row>
    <row r="119" spans="1:24" x14ac:dyDescent="0.3">
      <c r="A119" s="5">
        <v>138</v>
      </c>
      <c r="B119" s="21">
        <v>84</v>
      </c>
      <c r="C119" s="3" t="s">
        <v>115</v>
      </c>
      <c r="D119" s="4" t="s">
        <v>116</v>
      </c>
      <c r="E119" s="11" t="s">
        <v>2827</v>
      </c>
      <c r="F119" s="18" t="s">
        <v>615</v>
      </c>
      <c r="G119" s="3" t="s">
        <v>113</v>
      </c>
      <c r="H119" s="4" t="s">
        <v>114</v>
      </c>
      <c r="K119" s="8" t="s">
        <v>1067</v>
      </c>
      <c r="M119" s="35">
        <v>0.04</v>
      </c>
      <c r="S119" t="s">
        <v>1266</v>
      </c>
      <c r="T119" s="11" t="s">
        <v>1268</v>
      </c>
      <c r="U119" s="11" t="s">
        <v>768</v>
      </c>
      <c r="V119" s="11" t="s">
        <v>3440</v>
      </c>
      <c r="W119" s="54">
        <f>INDEX([1]ACOMPANHAMENTO!H:H,MATCH(A119,[1]ACOMPANHAMENTO!A:A,0))</f>
        <v>46082</v>
      </c>
      <c r="X119" s="11">
        <f t="shared" ca="1" si="1"/>
        <v>149</v>
      </c>
    </row>
    <row r="120" spans="1:24" x14ac:dyDescent="0.3">
      <c r="A120" s="5">
        <v>139</v>
      </c>
      <c r="B120" s="21">
        <v>77</v>
      </c>
      <c r="C120" s="3" t="s">
        <v>105</v>
      </c>
      <c r="D120" s="4" t="s">
        <v>356</v>
      </c>
      <c r="E120" s="11" t="s">
        <v>2827</v>
      </c>
      <c r="F120" s="18" t="s">
        <v>694</v>
      </c>
      <c r="G120" s="3" t="s">
        <v>106</v>
      </c>
      <c r="H120" s="4" t="s">
        <v>117</v>
      </c>
      <c r="K120" s="8" t="s">
        <v>1067</v>
      </c>
      <c r="M120" s="35">
        <v>2.5000000000000001E-2</v>
      </c>
      <c r="S120" t="s">
        <v>1254</v>
      </c>
      <c r="T120" s="11" t="s">
        <v>1255</v>
      </c>
      <c r="U120" s="11" t="s">
        <v>694</v>
      </c>
      <c r="V120" s="11" t="s">
        <v>3054</v>
      </c>
      <c r="W120" s="54">
        <f>INDEX([1]ACOMPANHAMENTO!H:H,MATCH(A120,[1]ACOMPANHAMENTO!A:A,0))</f>
        <v>45717</v>
      </c>
      <c r="X120" s="11">
        <f t="shared" ca="1" si="1"/>
        <v>-216</v>
      </c>
    </row>
    <row r="121" spans="1:24" x14ac:dyDescent="0.3">
      <c r="A121" s="5">
        <v>140</v>
      </c>
      <c r="B121" s="21">
        <v>77</v>
      </c>
      <c r="C121" s="3" t="s">
        <v>105</v>
      </c>
      <c r="D121" s="4" t="s">
        <v>356</v>
      </c>
      <c r="E121" s="11" t="s">
        <v>2827</v>
      </c>
      <c r="F121" s="18" t="s">
        <v>600</v>
      </c>
      <c r="G121" s="3" t="s">
        <v>106</v>
      </c>
      <c r="H121" s="4" t="s">
        <v>117</v>
      </c>
      <c r="K121" s="8" t="s">
        <v>1067</v>
      </c>
      <c r="M121" s="35">
        <v>2.5000000000000001E-2</v>
      </c>
      <c r="S121" t="s">
        <v>1254</v>
      </c>
      <c r="T121" s="11" t="s">
        <v>1255</v>
      </c>
      <c r="U121" s="11" t="s">
        <v>694</v>
      </c>
      <c r="V121" s="11" t="s">
        <v>2981</v>
      </c>
      <c r="W121" s="54">
        <f>INDEX([1]ACOMPANHAMENTO!H:H,MATCH(A121,[1]ACOMPANHAMENTO!A:A,0))</f>
        <v>45717</v>
      </c>
      <c r="X121" s="11">
        <f t="shared" ca="1" si="1"/>
        <v>-216</v>
      </c>
    </row>
    <row r="122" spans="1:24" x14ac:dyDescent="0.3">
      <c r="A122" s="5">
        <v>141</v>
      </c>
      <c r="B122" s="21">
        <v>76</v>
      </c>
      <c r="C122" s="3" t="s">
        <v>102</v>
      </c>
      <c r="D122" s="4" t="s">
        <v>355</v>
      </c>
      <c r="E122" s="11" t="s">
        <v>2827</v>
      </c>
      <c r="F122" s="18" t="s">
        <v>601</v>
      </c>
      <c r="G122" s="3" t="s">
        <v>101</v>
      </c>
      <c r="H122" s="4" t="s">
        <v>354</v>
      </c>
      <c r="K122" s="8" t="s">
        <v>1065</v>
      </c>
      <c r="S122" t="s">
        <v>1252</v>
      </c>
      <c r="T122" s="11" t="s">
        <v>1253</v>
      </c>
      <c r="U122" s="11" t="s">
        <v>601</v>
      </c>
      <c r="V122" s="11" t="s">
        <v>2885</v>
      </c>
      <c r="W122" s="54">
        <f>INDEX([1]ACOMPANHAMENTO!H:H,MATCH(A122,[1]ACOMPANHAMENTO!A:A,0))</f>
        <v>45778</v>
      </c>
      <c r="X122" s="11">
        <f t="shared" ca="1" si="1"/>
        <v>-155</v>
      </c>
    </row>
    <row r="123" spans="1:24" x14ac:dyDescent="0.3">
      <c r="A123" s="5">
        <v>142</v>
      </c>
      <c r="B123" s="21">
        <v>83</v>
      </c>
      <c r="C123" s="3" t="s">
        <v>102</v>
      </c>
      <c r="D123" s="4" t="s">
        <v>355</v>
      </c>
      <c r="E123" s="11" t="s">
        <v>2827</v>
      </c>
      <c r="F123" s="18" t="s">
        <v>602</v>
      </c>
      <c r="G123" s="3" t="s">
        <v>113</v>
      </c>
      <c r="H123" s="4" t="s">
        <v>114</v>
      </c>
      <c r="K123" s="8"/>
      <c r="S123" t="s">
        <v>1266</v>
      </c>
      <c r="T123" s="11" t="s">
        <v>1253</v>
      </c>
      <c r="U123" s="11" t="s">
        <v>601</v>
      </c>
      <c r="V123" s="11" t="s">
        <v>3441</v>
      </c>
      <c r="W123" s="54">
        <f>INDEX([1]ACOMPANHAMENTO!H:H,MATCH(A123,[1]ACOMPANHAMENTO!A:A,0))</f>
        <v>45717</v>
      </c>
      <c r="X123" s="11">
        <f t="shared" ca="1" si="1"/>
        <v>-216</v>
      </c>
    </row>
    <row r="124" spans="1:24" x14ac:dyDescent="0.3">
      <c r="A124" s="5">
        <v>143</v>
      </c>
      <c r="B124" s="21">
        <v>82</v>
      </c>
      <c r="C124" s="3" t="s">
        <v>115</v>
      </c>
      <c r="D124" s="4" t="s">
        <v>116</v>
      </c>
      <c r="E124" s="11" t="s">
        <v>2827</v>
      </c>
      <c r="F124" s="18" t="s">
        <v>603</v>
      </c>
      <c r="G124" s="3" t="s">
        <v>113</v>
      </c>
      <c r="H124" s="4" t="s">
        <v>114</v>
      </c>
      <c r="K124" s="8" t="s">
        <v>1067</v>
      </c>
      <c r="S124" t="s">
        <v>1266</v>
      </c>
      <c r="T124" s="11" t="s">
        <v>1267</v>
      </c>
      <c r="U124" s="11" t="s">
        <v>768</v>
      </c>
      <c r="V124" s="11" t="s">
        <v>3254</v>
      </c>
      <c r="W124" s="54">
        <f>INDEX([1]ACOMPANHAMENTO!H:H,MATCH(A124,[1]ACOMPANHAMENTO!A:A,0))</f>
        <v>45962</v>
      </c>
      <c r="X124" s="11">
        <f t="shared" ca="1" si="1"/>
        <v>29</v>
      </c>
    </row>
    <row r="125" spans="1:24" x14ac:dyDescent="0.3">
      <c r="A125" s="5">
        <v>144</v>
      </c>
      <c r="B125" s="21">
        <v>158</v>
      </c>
      <c r="C125" s="3" t="s">
        <v>115</v>
      </c>
      <c r="D125" s="4" t="s">
        <v>116</v>
      </c>
      <c r="E125" s="11" t="s">
        <v>1510</v>
      </c>
      <c r="F125" s="18" t="s">
        <v>604</v>
      </c>
      <c r="G125" s="3" t="s">
        <v>113</v>
      </c>
      <c r="H125" s="4" t="s">
        <v>114</v>
      </c>
      <c r="K125" s="8" t="s">
        <v>1067</v>
      </c>
      <c r="M125" s="35">
        <v>0.04</v>
      </c>
      <c r="S125" t="s">
        <v>1266</v>
      </c>
      <c r="T125" s="11" t="s">
        <v>1268</v>
      </c>
      <c r="U125" s="11" t="s">
        <v>768</v>
      </c>
      <c r="V125" s="11" t="s">
        <v>2146</v>
      </c>
      <c r="W125" s="54">
        <f>INDEX([1]ACOMPANHAMENTO!H:H,MATCH(A125,[1]ACOMPANHAMENTO!A:A,0))</f>
        <v>45717</v>
      </c>
      <c r="X125" s="11">
        <f t="shared" ca="1" si="1"/>
        <v>-216</v>
      </c>
    </row>
    <row r="126" spans="1:24" x14ac:dyDescent="0.3">
      <c r="A126" s="5">
        <v>145</v>
      </c>
      <c r="B126" s="21">
        <v>106</v>
      </c>
      <c r="C126" s="3" t="s">
        <v>84</v>
      </c>
      <c r="D126" s="4" t="s">
        <v>344</v>
      </c>
      <c r="E126" s="11" t="s">
        <v>2827</v>
      </c>
      <c r="F126" s="18" t="s">
        <v>605</v>
      </c>
      <c r="G126" s="3" t="s">
        <v>118</v>
      </c>
      <c r="H126" s="4" t="s">
        <v>358</v>
      </c>
      <c r="K126" s="8" t="s">
        <v>1074</v>
      </c>
      <c r="L126" s="32">
        <v>0.03</v>
      </c>
      <c r="S126" t="s">
        <v>1269</v>
      </c>
      <c r="T126" s="11" t="s">
        <v>1270</v>
      </c>
      <c r="U126" s="11" t="s">
        <v>794</v>
      </c>
      <c r="V126" s="11" t="s">
        <v>3261</v>
      </c>
      <c r="W126" s="54">
        <f>INDEX([1]ACOMPANHAMENTO!H:H,MATCH(A126,[1]ACOMPANHAMENTO!A:A,0))</f>
        <v>45717</v>
      </c>
      <c r="X126" s="11">
        <f t="shared" ca="1" si="1"/>
        <v>-216</v>
      </c>
    </row>
    <row r="127" spans="1:24" x14ac:dyDescent="0.3">
      <c r="A127" s="5">
        <v>146</v>
      </c>
      <c r="B127" s="21">
        <v>93</v>
      </c>
      <c r="C127" s="3" t="s">
        <v>6</v>
      </c>
      <c r="D127" s="4" t="s">
        <v>430</v>
      </c>
      <c r="E127" s="11" t="s">
        <v>2827</v>
      </c>
      <c r="F127" s="18" t="s">
        <v>606</v>
      </c>
      <c r="G127" s="3" t="s">
        <v>119</v>
      </c>
      <c r="H127" s="4" t="s">
        <v>120</v>
      </c>
      <c r="K127" s="8" t="s">
        <v>1052</v>
      </c>
      <c r="M127" s="35">
        <v>0.03</v>
      </c>
      <c r="S127" t="s">
        <v>1271</v>
      </c>
      <c r="T127" s="11" t="s">
        <v>1172</v>
      </c>
      <c r="U127" s="11" t="s">
        <v>623</v>
      </c>
      <c r="V127" s="11" t="s">
        <v>3442</v>
      </c>
      <c r="W127" s="54">
        <f>INDEX([1]ACOMPANHAMENTO!H:H,MATCH(A127,[1]ACOMPANHAMENTO!A:A,0))</f>
        <v>45717</v>
      </c>
      <c r="X127" s="11">
        <f t="shared" ca="1" si="1"/>
        <v>-216</v>
      </c>
    </row>
    <row r="128" spans="1:24" x14ac:dyDescent="0.3">
      <c r="A128" s="5">
        <v>147</v>
      </c>
      <c r="B128" s="21">
        <v>142</v>
      </c>
      <c r="C128" s="3" t="s">
        <v>132</v>
      </c>
      <c r="D128" s="4" t="s">
        <v>444</v>
      </c>
      <c r="E128" s="11" t="s">
        <v>2827</v>
      </c>
      <c r="F128" s="18" t="s">
        <v>607</v>
      </c>
      <c r="G128" s="3" t="s">
        <v>179</v>
      </c>
      <c r="H128" s="4" t="s">
        <v>258</v>
      </c>
      <c r="K128" s="8"/>
      <c r="S128" t="s">
        <v>1272</v>
      </c>
      <c r="T128" s="11" t="s">
        <v>1272</v>
      </c>
      <c r="U128" s="11" t="s">
        <v>3622</v>
      </c>
      <c r="V128" s="11" t="s">
        <v>3443</v>
      </c>
      <c r="W128" s="54">
        <f>INDEX([1]ACOMPANHAMENTO!H:H,MATCH(A128,[1]ACOMPANHAMENTO!A:A,0))</f>
        <v>42795</v>
      </c>
      <c r="X128" s="11">
        <f t="shared" ca="1" si="1"/>
        <v>-3138</v>
      </c>
    </row>
    <row r="129" spans="1:24" x14ac:dyDescent="0.3">
      <c r="A129" s="5">
        <v>148</v>
      </c>
      <c r="B129" s="21">
        <v>162</v>
      </c>
      <c r="C129" s="3" t="s">
        <v>132</v>
      </c>
      <c r="D129" s="4" t="s">
        <v>444</v>
      </c>
      <c r="E129" s="11" t="s">
        <v>2827</v>
      </c>
      <c r="F129" s="18" t="s">
        <v>608</v>
      </c>
      <c r="G129" s="3" t="s">
        <v>80</v>
      </c>
      <c r="H129" s="4" t="s">
        <v>81</v>
      </c>
      <c r="K129" s="8" t="s">
        <v>1052</v>
      </c>
      <c r="S129" t="s">
        <v>1272</v>
      </c>
      <c r="T129" s="11" t="s">
        <v>1272</v>
      </c>
      <c r="U129" s="11" t="s">
        <v>3622</v>
      </c>
      <c r="V129" s="11" t="s">
        <v>2928</v>
      </c>
      <c r="W129" s="54">
        <f>INDEX([1]ACOMPANHAMENTO!H:H,MATCH(A129,[1]ACOMPANHAMENTO!A:A,0))</f>
        <v>41699</v>
      </c>
      <c r="X129" s="11">
        <f t="shared" ca="1" si="1"/>
        <v>-4234</v>
      </c>
    </row>
    <row r="130" spans="1:24" x14ac:dyDescent="0.3">
      <c r="A130" s="5">
        <v>149</v>
      </c>
      <c r="B130" s="21">
        <v>90</v>
      </c>
      <c r="C130" s="3" t="s">
        <v>92</v>
      </c>
      <c r="D130" s="4" t="s">
        <v>350</v>
      </c>
      <c r="E130" s="11" t="s">
        <v>2827</v>
      </c>
      <c r="F130" s="18" t="s">
        <v>609</v>
      </c>
      <c r="G130" s="3" t="s">
        <v>85</v>
      </c>
      <c r="H130" s="4" t="s">
        <v>345</v>
      </c>
      <c r="K130" s="8" t="s">
        <v>1052</v>
      </c>
      <c r="M130" s="35">
        <v>0.03</v>
      </c>
      <c r="S130" t="s">
        <v>1274</v>
      </c>
      <c r="T130" s="11" t="s">
        <v>1273</v>
      </c>
      <c r="U130" s="11" t="s">
        <v>746</v>
      </c>
      <c r="V130" s="11" t="s">
        <v>3281</v>
      </c>
      <c r="W130" s="54">
        <f>INDEX([1]ACOMPANHAMENTO!H:H,MATCH(A130,[1]ACOMPANHAMENTO!A:A,0))</f>
        <v>45352</v>
      </c>
      <c r="X130" s="11">
        <f t="shared" ca="1" si="1"/>
        <v>-581</v>
      </c>
    </row>
    <row r="131" spans="1:24" x14ac:dyDescent="0.3">
      <c r="A131" s="5">
        <v>151</v>
      </c>
      <c r="B131" s="21">
        <v>92</v>
      </c>
      <c r="C131" s="3" t="s">
        <v>14</v>
      </c>
      <c r="D131" s="4" t="s">
        <v>15</v>
      </c>
      <c r="E131" s="11" t="s">
        <v>2827</v>
      </c>
      <c r="F131" s="18" t="s">
        <v>610</v>
      </c>
      <c r="G131" s="3" t="s">
        <v>119</v>
      </c>
      <c r="H131" s="4" t="s">
        <v>120</v>
      </c>
      <c r="K131" s="8" t="s">
        <v>1081</v>
      </c>
      <c r="M131" s="35">
        <v>0.02</v>
      </c>
      <c r="S131" t="s">
        <v>1276</v>
      </c>
      <c r="T131" s="11" t="s">
        <v>1275</v>
      </c>
      <c r="U131" s="11" t="s">
        <v>695</v>
      </c>
      <c r="V131" s="11" t="s">
        <v>3444</v>
      </c>
      <c r="W131" s="54">
        <f>INDEX([1]ACOMPANHAMENTO!H:H,MATCH(A131,[1]ACOMPANHAMENTO!A:A,0))</f>
        <v>45717</v>
      </c>
      <c r="X131" s="11">
        <f t="shared" ref="X131:X194" ca="1" si="2">W131-TODAY()</f>
        <v>-216</v>
      </c>
    </row>
    <row r="132" spans="1:24" x14ac:dyDescent="0.3">
      <c r="A132" s="5">
        <v>152</v>
      </c>
      <c r="B132" s="21">
        <v>87</v>
      </c>
      <c r="C132" s="3" t="s">
        <v>102</v>
      </c>
      <c r="D132" s="4" t="s">
        <v>355</v>
      </c>
      <c r="E132" s="11" t="s">
        <v>2827</v>
      </c>
      <c r="F132" s="18" t="s">
        <v>611</v>
      </c>
      <c r="G132" s="3" t="s">
        <v>119</v>
      </c>
      <c r="H132" s="4" t="s">
        <v>120</v>
      </c>
      <c r="K132" s="8" t="s">
        <v>1052</v>
      </c>
      <c r="M132" s="35">
        <v>0.05</v>
      </c>
      <c r="S132" t="s">
        <v>1277</v>
      </c>
      <c r="T132" s="11" t="s">
        <v>1278</v>
      </c>
      <c r="U132" s="11" t="s">
        <v>601</v>
      </c>
      <c r="V132" s="11" t="s">
        <v>3120</v>
      </c>
      <c r="W132" s="54">
        <f>INDEX([1]ACOMPANHAMENTO!H:H,MATCH(A132,[1]ACOMPANHAMENTO!A:A,0))</f>
        <v>46082</v>
      </c>
      <c r="X132" s="11">
        <f t="shared" ca="1" si="2"/>
        <v>149</v>
      </c>
    </row>
    <row r="133" spans="1:24" x14ac:dyDescent="0.3">
      <c r="A133" s="5">
        <v>153</v>
      </c>
      <c r="B133" s="21">
        <v>161</v>
      </c>
      <c r="C133" s="3" t="s">
        <v>102</v>
      </c>
      <c r="D133" s="4" t="s">
        <v>355</v>
      </c>
      <c r="E133" s="11" t="s">
        <v>2827</v>
      </c>
      <c r="F133" s="18" t="s">
        <v>612</v>
      </c>
      <c r="G133" s="3" t="s">
        <v>77</v>
      </c>
      <c r="H133" s="4" t="s">
        <v>78</v>
      </c>
      <c r="K133" s="8" t="s">
        <v>1055</v>
      </c>
      <c r="M133" s="35">
        <v>0.05</v>
      </c>
      <c r="Q133" s="11" t="s">
        <v>1082</v>
      </c>
      <c r="S133" t="s">
        <v>1280</v>
      </c>
      <c r="T133" s="11" t="s">
        <v>1279</v>
      </c>
      <c r="U133" s="11" t="s">
        <v>601</v>
      </c>
      <c r="V133" s="11" t="s">
        <v>2830</v>
      </c>
      <c r="W133" s="54">
        <f>INDEX([1]ACOMPANHAMENTO!H:H,MATCH(A133,[1]ACOMPANHAMENTO!A:A,0))</f>
        <v>45778</v>
      </c>
      <c r="X133" s="11">
        <f t="shared" ca="1" si="2"/>
        <v>-155</v>
      </c>
    </row>
    <row r="134" spans="1:24" x14ac:dyDescent="0.3">
      <c r="A134" s="5">
        <v>154</v>
      </c>
      <c r="B134" s="21">
        <v>82</v>
      </c>
      <c r="C134" s="3" t="s">
        <v>115</v>
      </c>
      <c r="D134" s="4" t="s">
        <v>116</v>
      </c>
      <c r="E134" s="11" t="s">
        <v>2827</v>
      </c>
      <c r="F134" s="18" t="s">
        <v>768</v>
      </c>
      <c r="G134" s="3" t="s">
        <v>113</v>
      </c>
      <c r="H134" s="4" t="s">
        <v>114</v>
      </c>
      <c r="K134" s="8" t="s">
        <v>1067</v>
      </c>
      <c r="S134" t="s">
        <v>1266</v>
      </c>
      <c r="T134" s="11" t="s">
        <v>1267</v>
      </c>
      <c r="U134" s="11" t="s">
        <v>768</v>
      </c>
      <c r="V134" s="11" t="s">
        <v>3185</v>
      </c>
      <c r="W134" s="54">
        <f>INDEX([1]ACOMPANHAMENTO!H:H,MATCH(A134,[1]ACOMPANHAMENTO!A:A,0))</f>
        <v>45962</v>
      </c>
      <c r="X134" s="11">
        <f t="shared" ca="1" si="2"/>
        <v>29</v>
      </c>
    </row>
    <row r="135" spans="1:24" x14ac:dyDescent="0.3">
      <c r="A135" s="5">
        <v>155</v>
      </c>
      <c r="B135" s="21">
        <v>77</v>
      </c>
      <c r="C135" s="3" t="s">
        <v>105</v>
      </c>
      <c r="D135" s="4" t="s">
        <v>356</v>
      </c>
      <c r="E135" s="11" t="s">
        <v>2827</v>
      </c>
      <c r="F135" s="18" t="s">
        <v>613</v>
      </c>
      <c r="G135" s="3" t="s">
        <v>106</v>
      </c>
      <c r="H135" s="4" t="s">
        <v>117</v>
      </c>
      <c r="K135" s="8" t="s">
        <v>1067</v>
      </c>
      <c r="M135" s="35">
        <v>2.5000000000000001E-2</v>
      </c>
      <c r="S135" t="s">
        <v>1254</v>
      </c>
      <c r="T135" s="11" t="s">
        <v>1255</v>
      </c>
      <c r="U135" s="11" t="s">
        <v>694</v>
      </c>
      <c r="V135" s="11" t="s">
        <v>2847</v>
      </c>
      <c r="W135" s="54">
        <f>INDEX([1]ACOMPANHAMENTO!H:H,MATCH(A135,[1]ACOMPANHAMENTO!A:A,0))</f>
        <v>45717</v>
      </c>
      <c r="X135" s="11">
        <f t="shared" ca="1" si="2"/>
        <v>-216</v>
      </c>
    </row>
    <row r="136" spans="1:24" x14ac:dyDescent="0.3">
      <c r="A136" s="5">
        <v>156</v>
      </c>
      <c r="B136" s="21">
        <v>87</v>
      </c>
      <c r="C136" s="3" t="s">
        <v>102</v>
      </c>
      <c r="D136" s="4" t="s">
        <v>355</v>
      </c>
      <c r="E136" s="11" t="s">
        <v>2827</v>
      </c>
      <c r="F136" s="18" t="s">
        <v>614</v>
      </c>
      <c r="G136" s="3" t="s">
        <v>119</v>
      </c>
      <c r="H136" s="4" t="s">
        <v>120</v>
      </c>
      <c r="K136" s="8" t="s">
        <v>1052</v>
      </c>
      <c r="M136" s="35">
        <v>0.05</v>
      </c>
      <c r="S136" t="s">
        <v>1277</v>
      </c>
      <c r="T136" s="11" t="s">
        <v>1278</v>
      </c>
      <c r="U136" s="11" t="s">
        <v>601</v>
      </c>
      <c r="V136" s="11" t="s">
        <v>2965</v>
      </c>
      <c r="W136" s="54">
        <f>INDEX([1]ACOMPANHAMENTO!H:H,MATCH(A136,[1]ACOMPANHAMENTO!A:A,0))</f>
        <v>46082</v>
      </c>
      <c r="X136" s="11">
        <f t="shared" ca="1" si="2"/>
        <v>149</v>
      </c>
    </row>
    <row r="137" spans="1:24" x14ac:dyDescent="0.3">
      <c r="A137" s="5">
        <v>159</v>
      </c>
      <c r="B137" s="21">
        <v>84</v>
      </c>
      <c r="C137" s="3" t="s">
        <v>115</v>
      </c>
      <c r="D137" s="4" t="s">
        <v>116</v>
      </c>
      <c r="E137" s="11" t="s">
        <v>2827</v>
      </c>
      <c r="F137" s="18" t="s">
        <v>615</v>
      </c>
      <c r="G137" s="3" t="s">
        <v>113</v>
      </c>
      <c r="H137" s="4" t="s">
        <v>114</v>
      </c>
      <c r="K137" s="8" t="s">
        <v>1067</v>
      </c>
      <c r="M137" s="35">
        <v>0.04</v>
      </c>
      <c r="S137" t="s">
        <v>1266</v>
      </c>
      <c r="T137" s="11" t="s">
        <v>1268</v>
      </c>
      <c r="U137" s="11" t="s">
        <v>768</v>
      </c>
      <c r="V137" s="11" t="s">
        <v>3440</v>
      </c>
      <c r="W137" s="54">
        <f>INDEX([1]ACOMPANHAMENTO!H:H,MATCH(A137,[1]ACOMPANHAMENTO!A:A,0))</f>
        <v>46082</v>
      </c>
      <c r="X137" s="11">
        <f t="shared" ca="1" si="2"/>
        <v>149</v>
      </c>
    </row>
    <row r="138" spans="1:24" x14ac:dyDescent="0.3">
      <c r="A138" s="5">
        <v>160</v>
      </c>
      <c r="B138" s="21">
        <v>88</v>
      </c>
      <c r="C138" s="3" t="s">
        <v>105</v>
      </c>
      <c r="D138" s="4" t="s">
        <v>356</v>
      </c>
      <c r="E138" s="11" t="s">
        <v>2827</v>
      </c>
      <c r="F138" s="18" t="s">
        <v>616</v>
      </c>
      <c r="G138" s="3" t="s">
        <v>121</v>
      </c>
      <c r="H138" s="4" t="s">
        <v>122</v>
      </c>
      <c r="K138" s="8" t="s">
        <v>1055</v>
      </c>
      <c r="M138" s="35">
        <v>0.02</v>
      </c>
      <c r="S138" t="s">
        <v>1281</v>
      </c>
      <c r="T138" s="11" t="s">
        <v>1282</v>
      </c>
      <c r="U138" s="11" t="s">
        <v>694</v>
      </c>
      <c r="V138" s="11" t="s">
        <v>2964</v>
      </c>
      <c r="W138" s="54">
        <f>INDEX([1]ACOMPANHAMENTO!H:H,MATCH(A138,[1]ACOMPANHAMENTO!A:A,0))</f>
        <v>46082</v>
      </c>
      <c r="X138" s="11">
        <f t="shared" ca="1" si="2"/>
        <v>149</v>
      </c>
    </row>
    <row r="139" spans="1:24" x14ac:dyDescent="0.3">
      <c r="A139" s="5">
        <v>161</v>
      </c>
      <c r="B139" s="21">
        <v>89</v>
      </c>
      <c r="C139" s="3" t="s">
        <v>105</v>
      </c>
      <c r="D139" s="4" t="s">
        <v>356</v>
      </c>
      <c r="E139" s="11" t="s">
        <v>2827</v>
      </c>
      <c r="F139" s="18" t="s">
        <v>841</v>
      </c>
      <c r="G139" s="3" t="s">
        <v>118</v>
      </c>
      <c r="H139" s="4" t="s">
        <v>358</v>
      </c>
      <c r="K139" s="8" t="s">
        <v>1065</v>
      </c>
      <c r="M139" s="35">
        <v>0.02</v>
      </c>
      <c r="S139" t="s">
        <v>1283</v>
      </c>
      <c r="T139" s="11" t="s">
        <v>1284</v>
      </c>
      <c r="U139" s="11" t="s">
        <v>694</v>
      </c>
      <c r="V139" s="11" t="s">
        <v>3445</v>
      </c>
      <c r="W139" s="54">
        <f>INDEX([1]ACOMPANHAMENTO!H:H,MATCH(A139,[1]ACOMPANHAMENTO!A:A,0))</f>
        <v>45717</v>
      </c>
      <c r="X139" s="11">
        <f t="shared" ca="1" si="2"/>
        <v>-216</v>
      </c>
    </row>
    <row r="140" spans="1:24" x14ac:dyDescent="0.3">
      <c r="A140" s="5">
        <v>166</v>
      </c>
      <c r="B140" s="21">
        <v>55</v>
      </c>
      <c r="C140" s="3" t="s">
        <v>88</v>
      </c>
      <c r="D140" s="4" t="s">
        <v>104</v>
      </c>
      <c r="E140" s="11" t="s">
        <v>2827</v>
      </c>
      <c r="F140" s="18" t="s">
        <v>617</v>
      </c>
      <c r="G140" s="3" t="s">
        <v>87</v>
      </c>
      <c r="H140" s="4" t="s">
        <v>449</v>
      </c>
      <c r="K140" s="8" t="s">
        <v>1075</v>
      </c>
      <c r="M140" s="35">
        <v>5.0000000000000001E-3</v>
      </c>
      <c r="S140" t="s">
        <v>1229</v>
      </c>
      <c r="T140" s="11" t="s">
        <v>1228</v>
      </c>
      <c r="U140" s="11" t="s">
        <v>617</v>
      </c>
      <c r="V140" s="11" t="s">
        <v>2868</v>
      </c>
      <c r="W140" s="54">
        <f>INDEX([1]ACOMPANHAMENTO!H:H,MATCH(A140,[1]ACOMPANHAMENTO!A:A,0))</f>
        <v>45717</v>
      </c>
      <c r="X140" s="11">
        <f t="shared" ca="1" si="2"/>
        <v>-216</v>
      </c>
    </row>
    <row r="141" spans="1:24" x14ac:dyDescent="0.3">
      <c r="A141" s="5">
        <v>167</v>
      </c>
      <c r="B141" s="21">
        <v>21</v>
      </c>
      <c r="C141" s="3" t="s">
        <v>83</v>
      </c>
      <c r="D141" s="4" t="s">
        <v>343</v>
      </c>
      <c r="E141" s="11" t="s">
        <v>2827</v>
      </c>
      <c r="F141" s="18" t="s">
        <v>730</v>
      </c>
      <c r="G141" s="3" t="s">
        <v>82</v>
      </c>
      <c r="H141" s="4" t="s">
        <v>342</v>
      </c>
      <c r="K141" s="8" t="s">
        <v>1055</v>
      </c>
      <c r="Q141" s="11" t="s">
        <v>1073</v>
      </c>
      <c r="S141" t="s">
        <v>1223</v>
      </c>
      <c r="T141" s="11" t="s">
        <v>1222</v>
      </c>
      <c r="U141" s="11" t="s">
        <v>730</v>
      </c>
      <c r="V141" s="11" t="s">
        <v>2985</v>
      </c>
      <c r="W141" s="54">
        <f>INDEX([1]ACOMPANHAMENTO!H:H,MATCH(A141,[1]ACOMPANHAMENTO!A:A,0))</f>
        <v>46204</v>
      </c>
      <c r="X141" s="11">
        <f t="shared" ca="1" si="2"/>
        <v>271</v>
      </c>
    </row>
    <row r="142" spans="1:24" x14ac:dyDescent="0.3">
      <c r="A142" s="5">
        <v>169</v>
      </c>
      <c r="B142" s="21">
        <v>99</v>
      </c>
      <c r="C142" s="3" t="s">
        <v>95</v>
      </c>
      <c r="D142" s="4" t="s">
        <v>351</v>
      </c>
      <c r="E142" s="11" t="s">
        <v>2827</v>
      </c>
      <c r="F142" s="18" t="s">
        <v>618</v>
      </c>
      <c r="G142" s="3" t="s">
        <v>96</v>
      </c>
      <c r="H142" s="4" t="s">
        <v>103</v>
      </c>
      <c r="K142" s="8" t="s">
        <v>1052</v>
      </c>
      <c r="M142" s="35">
        <v>0.02</v>
      </c>
      <c r="S142" t="s">
        <v>1242</v>
      </c>
      <c r="T142" s="11" t="s">
        <v>1241</v>
      </c>
      <c r="U142" s="11" t="s">
        <v>852</v>
      </c>
      <c r="V142" s="11" t="s">
        <v>3446</v>
      </c>
      <c r="W142" s="54">
        <f>INDEX([1]ACOMPANHAMENTO!H:H,MATCH(A142,[1]ACOMPANHAMENTO!A:A,0))</f>
        <v>45809</v>
      </c>
      <c r="X142" s="11">
        <f t="shared" ca="1" si="2"/>
        <v>-124</v>
      </c>
    </row>
    <row r="143" spans="1:24" x14ac:dyDescent="0.3">
      <c r="A143" s="5">
        <v>170</v>
      </c>
      <c r="B143" s="21">
        <v>147</v>
      </c>
      <c r="C143" s="3" t="s">
        <v>446</v>
      </c>
      <c r="D143" s="4" t="s">
        <v>445</v>
      </c>
      <c r="E143" s="11" t="s">
        <v>2827</v>
      </c>
      <c r="F143" s="18" t="s">
        <v>619</v>
      </c>
      <c r="G143" s="3" t="s">
        <v>439</v>
      </c>
      <c r="H143" s="4" t="s">
        <v>438</v>
      </c>
      <c r="K143" s="8" t="s">
        <v>1055</v>
      </c>
      <c r="L143" s="32">
        <v>0.03</v>
      </c>
      <c r="Q143" s="11" t="s">
        <v>1080</v>
      </c>
      <c r="S143" t="s">
        <v>1198</v>
      </c>
      <c r="T143" s="11" t="s">
        <v>1251</v>
      </c>
      <c r="U143" s="11" t="s">
        <v>588</v>
      </c>
      <c r="V143" s="11" t="s">
        <v>3447</v>
      </c>
      <c r="W143" s="54">
        <f>INDEX([1]ACOMPANHAMENTO!H:H,MATCH(A143,[1]ACOMPANHAMENTO!A:A,0))</f>
        <v>45809</v>
      </c>
      <c r="X143" s="11">
        <f t="shared" ca="1" si="2"/>
        <v>-124</v>
      </c>
    </row>
    <row r="144" spans="1:24" x14ac:dyDescent="0.3">
      <c r="A144" s="5">
        <v>171</v>
      </c>
      <c r="B144" s="21">
        <v>9</v>
      </c>
      <c r="C144" s="3" t="s">
        <v>11</v>
      </c>
      <c r="D144" s="4" t="s">
        <v>297</v>
      </c>
      <c r="E144" s="11" t="s">
        <v>2827</v>
      </c>
      <c r="F144" s="18" t="s">
        <v>620</v>
      </c>
      <c r="G144" s="3" t="s">
        <v>10</v>
      </c>
      <c r="H144" s="4" t="s">
        <v>296</v>
      </c>
      <c r="K144" s="8" t="s">
        <v>1055</v>
      </c>
      <c r="M144" s="35">
        <v>0.03</v>
      </c>
      <c r="S144" t="s">
        <v>1141</v>
      </c>
      <c r="T144" s="11" t="s">
        <v>1151</v>
      </c>
      <c r="U144" s="11" t="s">
        <v>3588</v>
      </c>
      <c r="V144" s="11" t="s">
        <v>3448</v>
      </c>
      <c r="W144" s="54">
        <f>INDEX([1]ACOMPANHAMENTO!H:H,MATCH(A144,[1]ACOMPANHAMENTO!A:A,0))</f>
        <v>46082</v>
      </c>
      <c r="X144" s="11">
        <f t="shared" ca="1" si="2"/>
        <v>149</v>
      </c>
    </row>
    <row r="145" spans="1:24" x14ac:dyDescent="0.3">
      <c r="A145" s="5">
        <v>172</v>
      </c>
      <c r="B145" s="21">
        <v>81</v>
      </c>
      <c r="C145" s="3" t="s">
        <v>124</v>
      </c>
      <c r="D145" s="4" t="s">
        <v>360</v>
      </c>
      <c r="E145" s="11" t="s">
        <v>2827</v>
      </c>
      <c r="F145" s="18" t="s">
        <v>621</v>
      </c>
      <c r="G145" s="3" t="s">
        <v>123</v>
      </c>
      <c r="H145" s="4" t="s">
        <v>359</v>
      </c>
      <c r="K145" s="8" t="s">
        <v>1083</v>
      </c>
      <c r="M145" s="35">
        <v>0.03</v>
      </c>
      <c r="S145" t="s">
        <v>1285</v>
      </c>
      <c r="T145" s="11" t="s">
        <v>1286</v>
      </c>
      <c r="U145" s="11" t="s">
        <v>621</v>
      </c>
      <c r="V145" s="11" t="s">
        <v>3449</v>
      </c>
      <c r="W145" s="54">
        <f>INDEX([1]ACOMPANHAMENTO!H:H,MATCH(A145,[1]ACOMPANHAMENTO!A:A,0))</f>
        <v>46082</v>
      </c>
      <c r="X145" s="11">
        <f t="shared" ca="1" si="2"/>
        <v>149</v>
      </c>
    </row>
    <row r="146" spans="1:24" x14ac:dyDescent="0.3">
      <c r="A146" s="5">
        <v>173</v>
      </c>
      <c r="B146" s="21">
        <v>99</v>
      </c>
      <c r="C146" s="3" t="s">
        <v>95</v>
      </c>
      <c r="D146" s="4" t="s">
        <v>351</v>
      </c>
      <c r="E146" s="11" t="s">
        <v>2827</v>
      </c>
      <c r="F146" s="18" t="s">
        <v>622</v>
      </c>
      <c r="G146" s="3" t="s">
        <v>96</v>
      </c>
      <c r="H146" s="4" t="s">
        <v>103</v>
      </c>
      <c r="K146" s="8" t="s">
        <v>1051</v>
      </c>
      <c r="S146" t="s">
        <v>1242</v>
      </c>
      <c r="T146" s="11" t="s">
        <v>1241</v>
      </c>
      <c r="U146" s="11" t="s">
        <v>852</v>
      </c>
      <c r="V146" s="11" t="s">
        <v>3430</v>
      </c>
      <c r="W146" s="54">
        <f>INDEX([1]ACOMPANHAMENTO!H:H,MATCH(A146,[1]ACOMPANHAMENTO!A:A,0))</f>
        <v>45809</v>
      </c>
      <c r="X146" s="11">
        <f t="shared" ca="1" si="2"/>
        <v>-124</v>
      </c>
    </row>
    <row r="147" spans="1:24" x14ac:dyDescent="0.3">
      <c r="A147" s="5">
        <v>174</v>
      </c>
      <c r="B147" s="21">
        <v>86</v>
      </c>
      <c r="C147" s="3" t="s">
        <v>102</v>
      </c>
      <c r="D147" s="4" t="s">
        <v>355</v>
      </c>
      <c r="E147" s="11" t="s">
        <v>2827</v>
      </c>
      <c r="F147" s="18" t="s">
        <v>623</v>
      </c>
      <c r="G147" s="3" t="s">
        <v>119</v>
      </c>
      <c r="H147" s="4" t="s">
        <v>120</v>
      </c>
      <c r="K147" s="8" t="s">
        <v>1052</v>
      </c>
      <c r="M147" s="35">
        <v>0.05</v>
      </c>
      <c r="S147" t="s">
        <v>1287</v>
      </c>
      <c r="T147" s="11" t="s">
        <v>1288</v>
      </c>
      <c r="U147" s="11" t="s">
        <v>601</v>
      </c>
      <c r="V147" s="11" t="s">
        <v>3166</v>
      </c>
      <c r="W147" s="54">
        <f>INDEX([1]ACOMPANHAMENTO!H:H,MATCH(A147,[1]ACOMPANHAMENTO!A:A,0))</f>
        <v>46082</v>
      </c>
      <c r="X147" s="11">
        <f t="shared" ca="1" si="2"/>
        <v>149</v>
      </c>
    </row>
    <row r="148" spans="1:24" x14ac:dyDescent="0.3">
      <c r="A148" s="5">
        <v>175</v>
      </c>
      <c r="B148" s="21">
        <v>25</v>
      </c>
      <c r="C148" s="3" t="s">
        <v>4</v>
      </c>
      <c r="D148" s="4" t="s">
        <v>292</v>
      </c>
      <c r="E148" s="11" t="s">
        <v>2827</v>
      </c>
      <c r="F148" s="18" t="s">
        <v>889</v>
      </c>
      <c r="G148" s="3" t="s">
        <v>5</v>
      </c>
      <c r="H148" s="4" t="s">
        <v>293</v>
      </c>
      <c r="K148" s="8" t="s">
        <v>1053</v>
      </c>
      <c r="Q148" s="11" t="s">
        <v>1054</v>
      </c>
      <c r="S148" t="s">
        <v>1136</v>
      </c>
      <c r="T148" s="11" t="s">
        <v>1137</v>
      </c>
      <c r="U148" s="11" t="s">
        <v>820</v>
      </c>
      <c r="V148" s="11" t="s">
        <v>3239</v>
      </c>
      <c r="W148" s="54">
        <f>INDEX([1]ACOMPANHAMENTO!H:H,MATCH(A148,[1]ACOMPANHAMENTO!A:A,0))</f>
        <v>45931</v>
      </c>
      <c r="X148" s="11">
        <f t="shared" ca="1" si="2"/>
        <v>-2</v>
      </c>
    </row>
    <row r="149" spans="1:24" x14ac:dyDescent="0.3">
      <c r="A149" s="5">
        <v>176</v>
      </c>
      <c r="B149" s="21">
        <v>75</v>
      </c>
      <c r="C149" s="3" t="s">
        <v>2</v>
      </c>
      <c r="D149" s="4" t="s">
        <v>20</v>
      </c>
      <c r="E149" s="11" t="s">
        <v>2827</v>
      </c>
      <c r="F149" s="18" t="s">
        <v>624</v>
      </c>
      <c r="G149" s="3" t="s">
        <v>1</v>
      </c>
      <c r="H149" s="4" t="s">
        <v>257</v>
      </c>
      <c r="K149" s="8" t="s">
        <v>1052</v>
      </c>
      <c r="M149" s="35">
        <v>0.02</v>
      </c>
      <c r="N149" s="32">
        <v>0.05</v>
      </c>
      <c r="O149" s="32">
        <v>0.1</v>
      </c>
      <c r="P149" s="32">
        <v>0.15</v>
      </c>
      <c r="S149" t="s">
        <v>1150</v>
      </c>
      <c r="T149" s="11" t="s">
        <v>1135</v>
      </c>
      <c r="U149" s="11" t="s">
        <v>704</v>
      </c>
      <c r="V149" s="11" t="s">
        <v>3201</v>
      </c>
      <c r="W149" s="54">
        <f>INDEX([1]ACOMPANHAMENTO!H:H,MATCH(A149,[1]ACOMPANHAMENTO!A:A,0))</f>
        <v>45809</v>
      </c>
      <c r="X149" s="11">
        <f t="shared" ca="1" si="2"/>
        <v>-124</v>
      </c>
    </row>
    <row r="150" spans="1:24" x14ac:dyDescent="0.3">
      <c r="A150" s="5">
        <v>177</v>
      </c>
      <c r="B150" s="21">
        <v>40</v>
      </c>
      <c r="C150" s="3" t="s">
        <v>36</v>
      </c>
      <c r="D150" s="4" t="s">
        <v>312</v>
      </c>
      <c r="E150" s="11" t="s">
        <v>2827</v>
      </c>
      <c r="F150" s="18" t="s">
        <v>701</v>
      </c>
      <c r="G150" s="3" t="s">
        <v>37</v>
      </c>
      <c r="H150" s="4" t="s">
        <v>313</v>
      </c>
      <c r="K150" s="8" t="s">
        <v>1052</v>
      </c>
      <c r="L150" s="32">
        <v>0.02</v>
      </c>
      <c r="S150" t="s">
        <v>1175</v>
      </c>
      <c r="T150" s="11" t="s">
        <v>1174</v>
      </c>
      <c r="U150" s="11" t="s">
        <v>701</v>
      </c>
      <c r="V150" s="11" t="s">
        <v>3292</v>
      </c>
      <c r="W150" s="54">
        <f>INDEX([1]ACOMPANHAMENTO!H:H,MATCH(A150,[1]ACOMPANHAMENTO!A:A,0))</f>
        <v>45962</v>
      </c>
      <c r="X150" s="11">
        <f t="shared" ca="1" si="2"/>
        <v>29</v>
      </c>
    </row>
    <row r="151" spans="1:24" x14ac:dyDescent="0.3">
      <c r="A151" s="5">
        <v>178</v>
      </c>
      <c r="B151" s="21">
        <v>101</v>
      </c>
      <c r="C151" s="3" t="s">
        <v>125</v>
      </c>
      <c r="D151" s="4" t="s">
        <v>361</v>
      </c>
      <c r="E151" s="11" t="s">
        <v>2827</v>
      </c>
      <c r="F151" s="18" t="s">
        <v>727</v>
      </c>
      <c r="G151" s="3" t="s">
        <v>126</v>
      </c>
      <c r="H151" s="4" t="s">
        <v>451</v>
      </c>
      <c r="K151" s="8" t="s">
        <v>1052</v>
      </c>
      <c r="L151" s="32">
        <v>0.03</v>
      </c>
      <c r="S151" t="s">
        <v>1290</v>
      </c>
      <c r="T151" s="11" t="s">
        <v>1289</v>
      </c>
      <c r="U151" s="11" t="s">
        <v>727</v>
      </c>
      <c r="V151" s="11" t="s">
        <v>3293</v>
      </c>
      <c r="W151" s="54">
        <f>INDEX([1]ACOMPANHAMENTO!H:H,MATCH(A151,[1]ACOMPANHAMENTO!A:A,0))</f>
        <v>45717</v>
      </c>
      <c r="X151" s="11">
        <f t="shared" ca="1" si="2"/>
        <v>-216</v>
      </c>
    </row>
    <row r="152" spans="1:24" x14ac:dyDescent="0.3">
      <c r="A152" s="5">
        <v>179</v>
      </c>
      <c r="B152" s="21">
        <v>91</v>
      </c>
      <c r="C152" s="3" t="s">
        <v>89</v>
      </c>
      <c r="D152" s="4" t="s">
        <v>347</v>
      </c>
      <c r="E152" s="11" t="s">
        <v>2827</v>
      </c>
      <c r="F152" s="18" t="s">
        <v>625</v>
      </c>
      <c r="G152" s="3" t="s">
        <v>53</v>
      </c>
      <c r="H152" s="4" t="s">
        <v>328</v>
      </c>
      <c r="K152" s="8" t="s">
        <v>1077</v>
      </c>
      <c r="L152" s="32">
        <v>0.03</v>
      </c>
      <c r="S152" t="s">
        <v>1232</v>
      </c>
      <c r="T152" s="11" t="s">
        <v>1233</v>
      </c>
      <c r="U152" s="11" t="s">
        <v>721</v>
      </c>
      <c r="V152" s="11" t="s">
        <v>3040</v>
      </c>
      <c r="W152" s="54">
        <f>INDEX([1]ACOMPANHAMENTO!H:H,MATCH(A152,[1]ACOMPANHAMENTO!A:A,0))</f>
        <v>45717</v>
      </c>
      <c r="X152" s="11">
        <f t="shared" ca="1" si="2"/>
        <v>-216</v>
      </c>
    </row>
    <row r="153" spans="1:24" x14ac:dyDescent="0.3">
      <c r="A153" s="5">
        <v>180</v>
      </c>
      <c r="B153" s="21">
        <v>50</v>
      </c>
      <c r="C153" s="3" t="s">
        <v>441</v>
      </c>
      <c r="D153" s="4" t="s">
        <v>440</v>
      </c>
      <c r="E153" s="11" t="s">
        <v>2827</v>
      </c>
      <c r="F153" s="18" t="s">
        <v>626</v>
      </c>
      <c r="G153" s="3" t="s">
        <v>443</v>
      </c>
      <c r="H153" s="4" t="s">
        <v>442</v>
      </c>
      <c r="K153" s="8" t="s">
        <v>1055</v>
      </c>
      <c r="Q153" s="11" t="s">
        <v>1076</v>
      </c>
      <c r="S153" t="s">
        <v>1230</v>
      </c>
      <c r="T153" s="11" t="s">
        <v>1231</v>
      </c>
      <c r="U153" s="11" t="s">
        <v>824</v>
      </c>
      <c r="V153" s="11" t="s">
        <v>3142</v>
      </c>
      <c r="W153" s="54">
        <f>INDEX([1]ACOMPANHAMENTO!H:H,MATCH(A153,[1]ACOMPANHAMENTO!A:A,0))</f>
        <v>45809</v>
      </c>
      <c r="X153" s="11">
        <f t="shared" ca="1" si="2"/>
        <v>-124</v>
      </c>
    </row>
    <row r="154" spans="1:24" x14ac:dyDescent="0.3">
      <c r="A154" s="5">
        <v>181</v>
      </c>
      <c r="B154" s="21">
        <v>82</v>
      </c>
      <c r="C154" s="3" t="s">
        <v>115</v>
      </c>
      <c r="D154" s="4" t="s">
        <v>116</v>
      </c>
      <c r="E154" s="11" t="s">
        <v>2827</v>
      </c>
      <c r="F154" s="18" t="s">
        <v>768</v>
      </c>
      <c r="G154" s="3" t="s">
        <v>113</v>
      </c>
      <c r="H154" s="4" t="s">
        <v>114</v>
      </c>
      <c r="K154" s="8" t="s">
        <v>1067</v>
      </c>
      <c r="S154" t="s">
        <v>1266</v>
      </c>
      <c r="T154" s="11" t="s">
        <v>1267</v>
      </c>
      <c r="U154" s="11" t="s">
        <v>768</v>
      </c>
      <c r="V154" s="11" t="s">
        <v>3185</v>
      </c>
      <c r="W154" s="54">
        <f>INDEX([1]ACOMPANHAMENTO!H:H,MATCH(A154,[1]ACOMPANHAMENTO!A:A,0))</f>
        <v>45962</v>
      </c>
      <c r="X154" s="11">
        <f t="shared" ca="1" si="2"/>
        <v>29</v>
      </c>
    </row>
    <row r="155" spans="1:24" x14ac:dyDescent="0.3">
      <c r="A155" s="5">
        <v>182</v>
      </c>
      <c r="B155" s="21">
        <v>145</v>
      </c>
      <c r="C155" s="3" t="s">
        <v>74</v>
      </c>
      <c r="D155" s="4" t="s">
        <v>338</v>
      </c>
      <c r="E155" s="11" t="s">
        <v>2827</v>
      </c>
      <c r="F155" s="18" t="s">
        <v>943</v>
      </c>
      <c r="G155" s="3" t="s">
        <v>68</v>
      </c>
      <c r="H155" s="4" t="s">
        <v>69</v>
      </c>
      <c r="K155" s="8" t="s">
        <v>1052</v>
      </c>
      <c r="M155" s="35">
        <v>0.03</v>
      </c>
      <c r="S155" t="s">
        <v>1212</v>
      </c>
      <c r="T155" s="11" t="s">
        <v>1213</v>
      </c>
      <c r="U155" s="11" t="s">
        <v>943</v>
      </c>
      <c r="V155" s="11" t="s">
        <v>3133</v>
      </c>
      <c r="W155" s="54">
        <f>INDEX([1]ACOMPANHAMENTO!H:H,MATCH(A155,[1]ACOMPANHAMENTO!A:A,0))</f>
        <v>45901</v>
      </c>
      <c r="X155" s="11">
        <f t="shared" ca="1" si="2"/>
        <v>-32</v>
      </c>
    </row>
    <row r="156" spans="1:24" x14ac:dyDescent="0.3">
      <c r="A156" s="5">
        <v>183</v>
      </c>
      <c r="B156" s="21">
        <v>102</v>
      </c>
      <c r="C156" s="3" t="s">
        <v>129</v>
      </c>
      <c r="D156" s="4" t="s">
        <v>363</v>
      </c>
      <c r="E156" s="11" t="s">
        <v>2827</v>
      </c>
      <c r="F156" s="18" t="s">
        <v>941</v>
      </c>
      <c r="G156" s="3" t="s">
        <v>128</v>
      </c>
      <c r="H156" s="4" t="s">
        <v>362</v>
      </c>
      <c r="K156" s="8" t="s">
        <v>1055</v>
      </c>
      <c r="Q156" s="11" t="s">
        <v>1084</v>
      </c>
      <c r="S156" t="s">
        <v>1291</v>
      </c>
      <c r="T156" s="11" t="s">
        <v>1292</v>
      </c>
      <c r="U156" s="11" t="s">
        <v>941</v>
      </c>
      <c r="V156" s="11" t="s">
        <v>2920</v>
      </c>
      <c r="W156" s="54">
        <f>INDEX([1]ACOMPANHAMENTO!H:H,MATCH(A156,[1]ACOMPANHAMENTO!A:A,0))</f>
        <v>46204</v>
      </c>
      <c r="X156" s="11">
        <f t="shared" ca="1" si="2"/>
        <v>271</v>
      </c>
    </row>
    <row r="157" spans="1:24" x14ac:dyDescent="0.3">
      <c r="A157" s="5">
        <v>184</v>
      </c>
      <c r="B157" s="21">
        <v>146</v>
      </c>
      <c r="C157" s="3" t="s">
        <v>26</v>
      </c>
      <c r="D157" s="4" t="s">
        <v>306</v>
      </c>
      <c r="E157" s="11" t="s">
        <v>2827</v>
      </c>
      <c r="F157" s="18" t="s">
        <v>627</v>
      </c>
      <c r="G157" s="3" t="s">
        <v>25</v>
      </c>
      <c r="H157" s="4" t="s">
        <v>431</v>
      </c>
      <c r="K157" s="8" t="s">
        <v>1052</v>
      </c>
      <c r="Q157" s="11" t="s">
        <v>1057</v>
      </c>
      <c r="S157" t="s">
        <v>1160</v>
      </c>
      <c r="T157" s="11" t="s">
        <v>1161</v>
      </c>
      <c r="U157" s="11" t="s">
        <v>698</v>
      </c>
      <c r="V157" s="11" t="s">
        <v>3256</v>
      </c>
      <c r="W157" s="54">
        <f>INDEX([1]ACOMPANHAMENTO!H:H,MATCH(A157,[1]ACOMPANHAMENTO!A:A,0))</f>
        <v>45778</v>
      </c>
      <c r="X157" s="11">
        <f t="shared" ca="1" si="2"/>
        <v>-155</v>
      </c>
    </row>
    <row r="158" spans="1:24" x14ac:dyDescent="0.3">
      <c r="A158" s="5">
        <v>185</v>
      </c>
      <c r="B158" s="21">
        <v>80</v>
      </c>
      <c r="C158" s="3" t="s">
        <v>111</v>
      </c>
      <c r="D158" s="4" t="s">
        <v>450</v>
      </c>
      <c r="E158" s="11" t="s">
        <v>2827</v>
      </c>
      <c r="F158" s="18" t="s">
        <v>865</v>
      </c>
      <c r="G158" s="3" t="s">
        <v>109</v>
      </c>
      <c r="H158" s="4" t="s">
        <v>110</v>
      </c>
      <c r="K158" s="8" t="s">
        <v>1055</v>
      </c>
      <c r="S158" t="s">
        <v>1263</v>
      </c>
      <c r="T158" s="11" t="s">
        <v>1264</v>
      </c>
      <c r="U158" s="11" t="s">
        <v>3620</v>
      </c>
      <c r="V158" s="11" t="s">
        <v>2902</v>
      </c>
      <c r="W158" s="54">
        <f>INDEX([1]ACOMPANHAMENTO!H:H,MATCH(A158,[1]ACOMPANHAMENTO!A:A,0))</f>
        <v>45809</v>
      </c>
      <c r="X158" s="11">
        <f t="shared" ca="1" si="2"/>
        <v>-124</v>
      </c>
    </row>
    <row r="159" spans="1:24" x14ac:dyDescent="0.3">
      <c r="A159" s="5">
        <v>186</v>
      </c>
      <c r="B159" s="21">
        <v>2</v>
      </c>
      <c r="C159" s="3" t="s">
        <v>9</v>
      </c>
      <c r="D159" s="4" t="s">
        <v>295</v>
      </c>
      <c r="E159" s="11" t="s">
        <v>2827</v>
      </c>
      <c r="F159" s="18" t="s">
        <v>628</v>
      </c>
      <c r="G159" s="3" t="s">
        <v>8</v>
      </c>
      <c r="H159" s="4" t="s">
        <v>294</v>
      </c>
      <c r="K159" s="8" t="s">
        <v>1052</v>
      </c>
      <c r="M159" s="35">
        <v>4.4999999999999998E-2</v>
      </c>
      <c r="S159" t="s">
        <v>1139</v>
      </c>
      <c r="T159" s="11" t="s">
        <v>1140</v>
      </c>
      <c r="U159" s="11" t="s">
        <v>3587</v>
      </c>
      <c r="V159" s="11" t="s">
        <v>3174</v>
      </c>
      <c r="W159" s="54">
        <f>INDEX([1]ACOMPANHAMENTO!H:H,MATCH(A159,[1]ACOMPANHAMENTO!A:A,0))</f>
        <v>45689</v>
      </c>
      <c r="X159" s="11">
        <f t="shared" ca="1" si="2"/>
        <v>-244</v>
      </c>
    </row>
    <row r="160" spans="1:24" x14ac:dyDescent="0.3">
      <c r="A160" s="5">
        <v>187</v>
      </c>
      <c r="B160" s="21">
        <v>103</v>
      </c>
      <c r="C160" s="3" t="s">
        <v>92</v>
      </c>
      <c r="D160" s="4" t="s">
        <v>350</v>
      </c>
      <c r="E160" s="11" t="s">
        <v>2827</v>
      </c>
      <c r="F160" s="18" t="s">
        <v>697</v>
      </c>
      <c r="G160" s="3" t="s">
        <v>100</v>
      </c>
      <c r="H160" s="4" t="s">
        <v>353</v>
      </c>
      <c r="K160" s="8" t="s">
        <v>1055</v>
      </c>
      <c r="M160" s="35">
        <v>0.03</v>
      </c>
      <c r="S160" t="s">
        <v>1293</v>
      </c>
      <c r="T160" s="11" t="s">
        <v>1294</v>
      </c>
      <c r="U160" s="11" t="s">
        <v>746</v>
      </c>
      <c r="V160" s="11" t="s">
        <v>3240</v>
      </c>
      <c r="W160" s="54">
        <f>INDEX([1]ACOMPANHAMENTO!H:H,MATCH(A160,[1]ACOMPANHAMENTO!A:A,0))</f>
        <v>46113</v>
      </c>
      <c r="X160" s="11">
        <f t="shared" ca="1" si="2"/>
        <v>180</v>
      </c>
    </row>
    <row r="161" spans="1:24" x14ac:dyDescent="0.3">
      <c r="A161" s="5">
        <v>188</v>
      </c>
      <c r="B161" s="21">
        <v>249</v>
      </c>
      <c r="C161" s="3" t="s">
        <v>75</v>
      </c>
      <c r="D161" s="4" t="s">
        <v>452</v>
      </c>
      <c r="E161" s="11" t="s">
        <v>2827</v>
      </c>
      <c r="F161" s="18" t="s">
        <v>629</v>
      </c>
      <c r="G161" s="3" t="s">
        <v>3</v>
      </c>
      <c r="H161" s="4" t="s">
        <v>7</v>
      </c>
      <c r="K161" s="8" t="s">
        <v>1052</v>
      </c>
      <c r="M161" s="35">
        <v>0.02</v>
      </c>
      <c r="S161" t="s">
        <v>1295</v>
      </c>
      <c r="T161" s="11" t="s">
        <v>1296</v>
      </c>
      <c r="U161" s="11" t="s">
        <v>696</v>
      </c>
      <c r="V161" s="11" t="s">
        <v>3139</v>
      </c>
      <c r="W161" s="54">
        <f>INDEX([1]ACOMPANHAMENTO!H:H,MATCH(A161,[1]ACOMPANHAMENTO!A:A,0))</f>
        <v>45717</v>
      </c>
      <c r="X161" s="11">
        <f t="shared" ca="1" si="2"/>
        <v>-216</v>
      </c>
    </row>
    <row r="162" spans="1:24" x14ac:dyDescent="0.3">
      <c r="A162" s="5">
        <v>189</v>
      </c>
      <c r="B162" s="21">
        <v>70</v>
      </c>
      <c r="C162" s="3" t="s">
        <v>65</v>
      </c>
      <c r="D162" s="4" t="s">
        <v>66</v>
      </c>
      <c r="E162" s="11" t="s">
        <v>2827</v>
      </c>
      <c r="F162" s="18" t="s">
        <v>630</v>
      </c>
      <c r="G162" s="3" t="s">
        <v>63</v>
      </c>
      <c r="H162" s="4" t="s">
        <v>64</v>
      </c>
      <c r="K162" s="8" t="s">
        <v>1055</v>
      </c>
      <c r="M162" s="35">
        <v>0.03</v>
      </c>
      <c r="S162" t="s">
        <v>1206</v>
      </c>
      <c r="T162" s="11" t="s">
        <v>1205</v>
      </c>
      <c r="U162" s="11" t="s">
        <v>3614</v>
      </c>
      <c r="V162" s="11" t="s">
        <v>3450</v>
      </c>
      <c r="W162" s="54">
        <f>INDEX([1]ACOMPANHAMENTO!H:H,MATCH(A162,[1]ACOMPANHAMENTO!A:A,0))</f>
        <v>45717</v>
      </c>
      <c r="X162" s="11">
        <f t="shared" ca="1" si="2"/>
        <v>-216</v>
      </c>
    </row>
    <row r="163" spans="1:24" x14ac:dyDescent="0.3">
      <c r="A163" s="5">
        <v>190</v>
      </c>
      <c r="B163" s="21">
        <v>138</v>
      </c>
      <c r="C163" s="3" t="s">
        <v>75</v>
      </c>
      <c r="D163" s="4" t="s">
        <v>339</v>
      </c>
      <c r="E163" s="11" t="s">
        <v>2827</v>
      </c>
      <c r="F163" s="18" t="s">
        <v>696</v>
      </c>
      <c r="G163" s="3" t="s">
        <v>76</v>
      </c>
      <c r="H163" s="4" t="s">
        <v>340</v>
      </c>
      <c r="K163" s="8" t="s">
        <v>1071</v>
      </c>
      <c r="S163" t="s">
        <v>1216</v>
      </c>
      <c r="T163" s="11" t="s">
        <v>1217</v>
      </c>
      <c r="U163" s="11" t="s">
        <v>696</v>
      </c>
      <c r="V163" s="11" t="s">
        <v>3422</v>
      </c>
      <c r="W163" s="54">
        <f>INDEX([1]ACOMPANHAMENTO!H:H,MATCH(A163,[1]ACOMPANHAMENTO!A:A,0))</f>
        <v>46235</v>
      </c>
      <c r="X163" s="11">
        <f t="shared" ca="1" si="2"/>
        <v>302</v>
      </c>
    </row>
    <row r="164" spans="1:24" x14ac:dyDescent="0.3">
      <c r="A164" s="5">
        <v>191</v>
      </c>
      <c r="B164" s="21">
        <v>107</v>
      </c>
      <c r="C164" s="3" t="s">
        <v>131</v>
      </c>
      <c r="D164" s="4" t="s">
        <v>365</v>
      </c>
      <c r="E164" s="11" t="s">
        <v>2827</v>
      </c>
      <c r="F164" s="18" t="s">
        <v>631</v>
      </c>
      <c r="G164" s="3" t="s">
        <v>130</v>
      </c>
      <c r="H164" s="4" t="s">
        <v>364</v>
      </c>
      <c r="K164" s="8"/>
      <c r="S164" t="s">
        <v>1298</v>
      </c>
      <c r="T164" s="11" t="s">
        <v>1297</v>
      </c>
      <c r="U164" s="11" t="s">
        <v>631</v>
      </c>
      <c r="V164" s="11" t="s">
        <v>3451</v>
      </c>
      <c r="W164" s="54">
        <f>INDEX([1]ACOMPANHAMENTO!H:H,MATCH(A164,[1]ACOMPANHAMENTO!A:A,0))</f>
        <v>45505</v>
      </c>
      <c r="X164" s="11">
        <f t="shared" ca="1" si="2"/>
        <v>-428</v>
      </c>
    </row>
    <row r="165" spans="1:24" x14ac:dyDescent="0.3">
      <c r="A165" s="5">
        <v>192</v>
      </c>
      <c r="B165" s="21">
        <v>108</v>
      </c>
      <c r="C165" s="3" t="s">
        <v>65</v>
      </c>
      <c r="D165" s="4" t="s">
        <v>66</v>
      </c>
      <c r="E165" s="11" t="s">
        <v>2827</v>
      </c>
      <c r="F165" s="18" t="s">
        <v>632</v>
      </c>
      <c r="G165" s="3" t="s">
        <v>96</v>
      </c>
      <c r="H165" s="4" t="s">
        <v>103</v>
      </c>
      <c r="K165" s="8" t="s">
        <v>1052</v>
      </c>
      <c r="M165" s="35">
        <v>0.02</v>
      </c>
      <c r="S165" t="s">
        <v>1300</v>
      </c>
      <c r="T165" s="11" t="s">
        <v>1299</v>
      </c>
      <c r="U165" s="11" t="s">
        <v>3614</v>
      </c>
      <c r="V165" s="11" t="s">
        <v>3171</v>
      </c>
      <c r="W165" s="54">
        <f>INDEX([1]ACOMPANHAMENTO!H:H,MATCH(A165,[1]ACOMPANHAMENTO!A:A,0))</f>
        <v>45809</v>
      </c>
      <c r="X165" s="11">
        <f t="shared" ca="1" si="2"/>
        <v>-124</v>
      </c>
    </row>
    <row r="166" spans="1:24" x14ac:dyDescent="0.3">
      <c r="A166" s="5">
        <v>193</v>
      </c>
      <c r="B166" s="21">
        <v>102</v>
      </c>
      <c r="C166" s="3" t="s">
        <v>129</v>
      </c>
      <c r="D166" s="4" t="s">
        <v>363</v>
      </c>
      <c r="E166" s="11" t="s">
        <v>2827</v>
      </c>
      <c r="F166" s="18" t="s">
        <v>941</v>
      </c>
      <c r="G166" s="3" t="s">
        <v>128</v>
      </c>
      <c r="H166" s="4" t="s">
        <v>362</v>
      </c>
      <c r="K166" s="8" t="s">
        <v>1055</v>
      </c>
      <c r="Q166" s="11" t="s">
        <v>1084</v>
      </c>
      <c r="S166" t="s">
        <v>1291</v>
      </c>
      <c r="T166" s="11" t="s">
        <v>1292</v>
      </c>
      <c r="U166" s="11" t="s">
        <v>941</v>
      </c>
      <c r="V166" s="11" t="s">
        <v>2920</v>
      </c>
      <c r="W166" s="54">
        <f>INDEX([1]ACOMPANHAMENTO!H:H,MATCH(A166,[1]ACOMPANHAMENTO!A:A,0))</f>
        <v>46204</v>
      </c>
      <c r="X166" s="11">
        <f t="shared" ca="1" si="2"/>
        <v>271</v>
      </c>
    </row>
    <row r="167" spans="1:24" x14ac:dyDescent="0.3">
      <c r="A167" s="5">
        <v>194</v>
      </c>
      <c r="B167" s="21">
        <v>168</v>
      </c>
      <c r="C167" s="3" t="s">
        <v>55</v>
      </c>
      <c r="D167" s="4" t="s">
        <v>133</v>
      </c>
      <c r="E167" s="11" t="s">
        <v>2827</v>
      </c>
      <c r="F167" s="18" t="s">
        <v>633</v>
      </c>
      <c r="G167" s="3" t="s">
        <v>77</v>
      </c>
      <c r="H167" s="4" t="s">
        <v>78</v>
      </c>
      <c r="K167" s="8" t="s">
        <v>1052</v>
      </c>
      <c r="M167" s="35">
        <v>0.02</v>
      </c>
      <c r="S167" t="s">
        <v>1301</v>
      </c>
      <c r="T167" s="11" t="s">
        <v>1302</v>
      </c>
      <c r="U167" s="11" t="s">
        <v>883</v>
      </c>
      <c r="V167" s="11" t="s">
        <v>3452</v>
      </c>
      <c r="W167" s="54">
        <f>INDEX([1]ACOMPANHAMENTO!H:H,MATCH(A167,[1]ACOMPANHAMENTO!A:A,0))</f>
        <v>45717</v>
      </c>
      <c r="X167" s="11">
        <f t="shared" ca="1" si="2"/>
        <v>-216</v>
      </c>
    </row>
    <row r="168" spans="1:24" x14ac:dyDescent="0.3">
      <c r="A168" s="5">
        <v>195</v>
      </c>
      <c r="B168" s="21">
        <v>138</v>
      </c>
      <c r="C168" s="3" t="s">
        <v>75</v>
      </c>
      <c r="D168" s="4" t="s">
        <v>339</v>
      </c>
      <c r="E168" s="11" t="s">
        <v>2827</v>
      </c>
      <c r="F168" s="18" t="s">
        <v>696</v>
      </c>
      <c r="G168" s="3" t="s">
        <v>76</v>
      </c>
      <c r="H168" s="4" t="s">
        <v>340</v>
      </c>
      <c r="K168" s="8" t="s">
        <v>1071</v>
      </c>
      <c r="S168" t="s">
        <v>1216</v>
      </c>
      <c r="T168" s="11" t="s">
        <v>1217</v>
      </c>
      <c r="U168" s="11" t="s">
        <v>696</v>
      </c>
      <c r="V168" s="11" t="s">
        <v>3422</v>
      </c>
      <c r="W168" s="54">
        <f>INDEX([1]ACOMPANHAMENTO!H:H,MATCH(A168,[1]ACOMPANHAMENTO!A:A,0))</f>
        <v>46235</v>
      </c>
      <c r="X168" s="11">
        <f t="shared" ca="1" si="2"/>
        <v>302</v>
      </c>
    </row>
    <row r="169" spans="1:24" x14ac:dyDescent="0.3">
      <c r="A169" s="5">
        <v>196</v>
      </c>
      <c r="B169" s="21">
        <v>34</v>
      </c>
      <c r="C169" s="3" t="s">
        <v>50</v>
      </c>
      <c r="D169" s="4" t="s">
        <v>326</v>
      </c>
      <c r="E169" s="11" t="s">
        <v>2827</v>
      </c>
      <c r="F169" s="18" t="s">
        <v>634</v>
      </c>
      <c r="G169" s="3" t="s">
        <v>49</v>
      </c>
      <c r="H169" s="4" t="s">
        <v>453</v>
      </c>
      <c r="K169" s="8" t="s">
        <v>1064</v>
      </c>
      <c r="L169" s="32">
        <v>0.01</v>
      </c>
      <c r="S169" t="s">
        <v>1189</v>
      </c>
      <c r="T169" s="11" t="s">
        <v>1190</v>
      </c>
      <c r="U169" s="11" t="s">
        <v>693</v>
      </c>
      <c r="V169" s="11" t="s">
        <v>3453</v>
      </c>
      <c r="W169" s="54">
        <f>INDEX([1]ACOMPANHAMENTO!H:H,MATCH(A169,[1]ACOMPANHAMENTO!A:A,0))</f>
        <v>45809</v>
      </c>
      <c r="X169" s="11">
        <f t="shared" ca="1" si="2"/>
        <v>-124</v>
      </c>
    </row>
    <row r="170" spans="1:24" x14ac:dyDescent="0.3">
      <c r="A170" s="5">
        <v>197</v>
      </c>
      <c r="B170" s="21">
        <v>34</v>
      </c>
      <c r="C170" s="3" t="s">
        <v>50</v>
      </c>
      <c r="D170" s="4" t="s">
        <v>326</v>
      </c>
      <c r="E170" s="11" t="s">
        <v>2827</v>
      </c>
      <c r="F170" s="18" t="s">
        <v>693</v>
      </c>
      <c r="G170" s="3" t="s">
        <v>49</v>
      </c>
      <c r="H170" s="4" t="s">
        <v>453</v>
      </c>
      <c r="K170" s="8" t="s">
        <v>1064</v>
      </c>
      <c r="L170" s="32">
        <v>0.01</v>
      </c>
      <c r="S170" t="s">
        <v>1189</v>
      </c>
      <c r="T170" s="11" t="s">
        <v>1190</v>
      </c>
      <c r="U170" s="11" t="s">
        <v>693</v>
      </c>
      <c r="V170" s="11" t="s">
        <v>2970</v>
      </c>
      <c r="W170" s="54">
        <f>INDEX([1]ACOMPANHAMENTO!H:H,MATCH(A170,[1]ACOMPANHAMENTO!A:A,0))</f>
        <v>45809</v>
      </c>
      <c r="X170" s="11">
        <f t="shared" ca="1" si="2"/>
        <v>-124</v>
      </c>
    </row>
    <row r="171" spans="1:24" x14ac:dyDescent="0.3">
      <c r="A171" s="5">
        <v>198</v>
      </c>
      <c r="B171" s="21">
        <v>102</v>
      </c>
      <c r="C171" s="3" t="s">
        <v>129</v>
      </c>
      <c r="D171" s="4" t="s">
        <v>363</v>
      </c>
      <c r="E171" s="11" t="s">
        <v>2827</v>
      </c>
      <c r="F171" s="18" t="s">
        <v>635</v>
      </c>
      <c r="G171" s="3" t="s">
        <v>128</v>
      </c>
      <c r="H171" s="4" t="s">
        <v>362</v>
      </c>
      <c r="K171" s="8" t="s">
        <v>1055</v>
      </c>
      <c r="Q171" s="11" t="s">
        <v>1084</v>
      </c>
      <c r="S171" t="s">
        <v>1291</v>
      </c>
      <c r="T171" s="11" t="s">
        <v>1292</v>
      </c>
      <c r="U171" s="11" t="s">
        <v>941</v>
      </c>
      <c r="V171" s="11" t="s">
        <v>2990</v>
      </c>
      <c r="W171" s="54">
        <f>INDEX([1]ACOMPANHAMENTO!H:H,MATCH(A171,[1]ACOMPANHAMENTO!A:A,0))</f>
        <v>46204</v>
      </c>
      <c r="X171" s="11">
        <f t="shared" ca="1" si="2"/>
        <v>271</v>
      </c>
    </row>
    <row r="172" spans="1:24" x14ac:dyDescent="0.3">
      <c r="A172" s="5">
        <v>199</v>
      </c>
      <c r="B172" s="21">
        <v>43</v>
      </c>
      <c r="C172" s="3" t="s">
        <v>58</v>
      </c>
      <c r="D172" s="4" t="s">
        <v>59</v>
      </c>
      <c r="E172" s="11" t="s">
        <v>2827</v>
      </c>
      <c r="F172" s="18" t="s">
        <v>636</v>
      </c>
      <c r="G172" s="3" t="s">
        <v>56</v>
      </c>
      <c r="H172" s="4" t="s">
        <v>57</v>
      </c>
      <c r="K172" s="8" t="s">
        <v>1052</v>
      </c>
      <c r="M172" s="35">
        <v>0.03</v>
      </c>
      <c r="S172" t="s">
        <v>1200</v>
      </c>
      <c r="T172" s="11" t="s">
        <v>1201</v>
      </c>
      <c r="U172" s="11" t="s">
        <v>3612</v>
      </c>
      <c r="V172" s="11" t="s">
        <v>3454</v>
      </c>
      <c r="W172" s="54">
        <f>INDEX([1]ACOMPANHAMENTO!H:H,MATCH(A172,[1]ACOMPANHAMENTO!A:A,0))</f>
        <v>45748</v>
      </c>
      <c r="X172" s="11">
        <f t="shared" ca="1" si="2"/>
        <v>-185</v>
      </c>
    </row>
    <row r="173" spans="1:24" x14ac:dyDescent="0.3">
      <c r="A173" s="5">
        <v>201</v>
      </c>
      <c r="B173" s="21">
        <v>31</v>
      </c>
      <c r="C173" s="3" t="s">
        <v>4</v>
      </c>
      <c r="D173" s="4" t="s">
        <v>292</v>
      </c>
      <c r="E173" s="11" t="s">
        <v>2827</v>
      </c>
      <c r="F173" s="18" t="s">
        <v>820</v>
      </c>
      <c r="G173" s="3" t="s">
        <v>53</v>
      </c>
      <c r="H173" s="4" t="s">
        <v>328</v>
      </c>
      <c r="K173" s="8" t="s">
        <v>1066</v>
      </c>
      <c r="M173" s="35">
        <v>0.03</v>
      </c>
      <c r="S173" t="s">
        <v>1192</v>
      </c>
      <c r="T173" s="11" t="s">
        <v>1193</v>
      </c>
      <c r="U173" s="11" t="s">
        <v>820</v>
      </c>
      <c r="V173" s="11" t="s">
        <v>3109</v>
      </c>
      <c r="W173" s="54">
        <f>INDEX([1]ACOMPANHAMENTO!H:H,MATCH(A173,[1]ACOMPANHAMENTO!A:A,0))</f>
        <v>45931</v>
      </c>
      <c r="X173" s="11">
        <f t="shared" ca="1" si="2"/>
        <v>-2</v>
      </c>
    </row>
    <row r="174" spans="1:24" x14ac:dyDescent="0.3">
      <c r="A174" s="5">
        <v>202</v>
      </c>
      <c r="B174" s="21">
        <v>91</v>
      </c>
      <c r="C174" s="3" t="s">
        <v>89</v>
      </c>
      <c r="D174" s="4" t="s">
        <v>347</v>
      </c>
      <c r="E174" s="11" t="s">
        <v>2827</v>
      </c>
      <c r="F174" s="18" t="s">
        <v>637</v>
      </c>
      <c r="G174" s="3" t="s">
        <v>53</v>
      </c>
      <c r="H174" s="4" t="s">
        <v>328</v>
      </c>
      <c r="K174" s="8" t="s">
        <v>1077</v>
      </c>
      <c r="M174" s="35">
        <v>0.03</v>
      </c>
      <c r="S174" t="s">
        <v>1232</v>
      </c>
      <c r="T174" s="11" t="s">
        <v>1233</v>
      </c>
      <c r="U174" s="11" t="s">
        <v>721</v>
      </c>
      <c r="V174" s="11" t="s">
        <v>3455</v>
      </c>
      <c r="W174" s="54">
        <f>INDEX([1]ACOMPANHAMENTO!H:H,MATCH(A174,[1]ACOMPANHAMENTO!A:A,0))</f>
        <v>45717</v>
      </c>
      <c r="X174" s="11">
        <f t="shared" ca="1" si="2"/>
        <v>-216</v>
      </c>
    </row>
    <row r="175" spans="1:24" x14ac:dyDescent="0.3">
      <c r="A175" s="5">
        <v>203</v>
      </c>
      <c r="B175" s="21">
        <v>160</v>
      </c>
      <c r="C175" s="3" t="s">
        <v>93</v>
      </c>
      <c r="D175" s="4" t="s">
        <v>94</v>
      </c>
      <c r="E175" s="11" t="s">
        <v>2827</v>
      </c>
      <c r="F175" s="18" t="s">
        <v>638</v>
      </c>
      <c r="G175" s="3" t="s">
        <v>51</v>
      </c>
      <c r="H175" s="4" t="s">
        <v>134</v>
      </c>
      <c r="K175" s="8" t="s">
        <v>1055</v>
      </c>
      <c r="Q175" s="11" t="s">
        <v>1078</v>
      </c>
      <c r="R175" s="41" t="s">
        <v>1130</v>
      </c>
      <c r="S175" t="s">
        <v>1239</v>
      </c>
      <c r="T175" s="11" t="s">
        <v>1240</v>
      </c>
      <c r="U175" s="11" t="s">
        <v>638</v>
      </c>
      <c r="V175" s="11" t="s">
        <v>2886</v>
      </c>
      <c r="W175" s="54">
        <f>INDEX([1]ACOMPANHAMENTO!H:H,MATCH(A175,[1]ACOMPANHAMENTO!A:A,0))</f>
        <v>45962</v>
      </c>
      <c r="X175" s="11">
        <f t="shared" ca="1" si="2"/>
        <v>29</v>
      </c>
    </row>
    <row r="176" spans="1:24" x14ac:dyDescent="0.3">
      <c r="A176" s="5">
        <v>204</v>
      </c>
      <c r="B176" s="21">
        <v>102</v>
      </c>
      <c r="C176" s="3" t="s">
        <v>129</v>
      </c>
      <c r="D176" s="4" t="s">
        <v>363</v>
      </c>
      <c r="E176" s="11" t="s">
        <v>2827</v>
      </c>
      <c r="F176" s="18" t="s">
        <v>941</v>
      </c>
      <c r="G176" s="3" t="s">
        <v>128</v>
      </c>
      <c r="H176" s="4" t="s">
        <v>362</v>
      </c>
      <c r="K176" s="8" t="s">
        <v>1051</v>
      </c>
      <c r="S176" t="s">
        <v>1291</v>
      </c>
      <c r="T176" s="11" t="s">
        <v>1292</v>
      </c>
      <c r="U176" s="11" t="s">
        <v>941</v>
      </c>
      <c r="V176" s="11" t="s">
        <v>2920</v>
      </c>
      <c r="W176" s="54">
        <f>INDEX([1]ACOMPANHAMENTO!H:H,MATCH(A176,[1]ACOMPANHAMENTO!A:A,0))</f>
        <v>46204</v>
      </c>
      <c r="X176" s="11">
        <f t="shared" ca="1" si="2"/>
        <v>271</v>
      </c>
    </row>
    <row r="177" spans="1:24" x14ac:dyDescent="0.3">
      <c r="A177" s="5">
        <v>205</v>
      </c>
      <c r="B177" s="21">
        <v>154</v>
      </c>
      <c r="C177" s="3" t="s">
        <v>135</v>
      </c>
      <c r="D177" s="4" t="s">
        <v>366</v>
      </c>
      <c r="E177" s="11" t="s">
        <v>2827</v>
      </c>
      <c r="F177" s="18" t="s">
        <v>709</v>
      </c>
      <c r="G177" s="3" t="s">
        <v>136</v>
      </c>
      <c r="H177" s="4" t="s">
        <v>367</v>
      </c>
      <c r="K177" s="8" t="s">
        <v>1067</v>
      </c>
      <c r="M177" s="35">
        <v>0.06</v>
      </c>
      <c r="S177" t="s">
        <v>1304</v>
      </c>
      <c r="T177" s="11" t="s">
        <v>1303</v>
      </c>
      <c r="U177" s="11" t="s">
        <v>3622</v>
      </c>
      <c r="V177" s="11" t="s">
        <v>2838</v>
      </c>
      <c r="W177" s="54">
        <f>INDEX([1]ACOMPANHAMENTO!H:H,MATCH(A177,[1]ACOMPANHAMENTO!A:A,0))</f>
        <v>45962</v>
      </c>
      <c r="X177" s="11">
        <f t="shared" ca="1" si="2"/>
        <v>29</v>
      </c>
    </row>
    <row r="178" spans="1:24" x14ac:dyDescent="0.3">
      <c r="A178" s="5">
        <v>206</v>
      </c>
      <c r="B178" s="21">
        <v>102</v>
      </c>
      <c r="C178" s="3" t="s">
        <v>129</v>
      </c>
      <c r="D178" s="4" t="s">
        <v>363</v>
      </c>
      <c r="E178" s="11" t="s">
        <v>2827</v>
      </c>
      <c r="F178" s="18" t="s">
        <v>941</v>
      </c>
      <c r="G178" s="3" t="s">
        <v>128</v>
      </c>
      <c r="H178" s="4" t="s">
        <v>362</v>
      </c>
      <c r="K178" s="8" t="s">
        <v>1055</v>
      </c>
      <c r="Q178" s="11" t="s">
        <v>1084</v>
      </c>
      <c r="S178" t="s">
        <v>1291</v>
      </c>
      <c r="T178" s="11" t="s">
        <v>1292</v>
      </c>
      <c r="U178" s="11" t="s">
        <v>941</v>
      </c>
      <c r="V178" s="11" t="s">
        <v>2920</v>
      </c>
      <c r="W178" s="54">
        <f>INDEX([1]ACOMPANHAMENTO!H:H,MATCH(A178,[1]ACOMPANHAMENTO!A:A,0))</f>
        <v>46204</v>
      </c>
      <c r="X178" s="11">
        <f t="shared" ca="1" si="2"/>
        <v>271</v>
      </c>
    </row>
    <row r="179" spans="1:24" x14ac:dyDescent="0.3">
      <c r="A179" s="5">
        <v>207</v>
      </c>
      <c r="B179" s="21">
        <v>113</v>
      </c>
      <c r="C179" s="3" t="s">
        <v>139</v>
      </c>
      <c r="D179" s="4" t="s">
        <v>140</v>
      </c>
      <c r="E179" s="11" t="s">
        <v>2548</v>
      </c>
      <c r="F179" s="18" t="s">
        <v>639</v>
      </c>
      <c r="G179" s="3" t="s">
        <v>138</v>
      </c>
      <c r="H179" s="4" t="s">
        <v>436</v>
      </c>
      <c r="K179" s="8" t="s">
        <v>1085</v>
      </c>
      <c r="S179" t="s">
        <v>1306</v>
      </c>
      <c r="T179" s="11" t="s">
        <v>1305</v>
      </c>
      <c r="U179" s="11" t="s">
        <v>3623</v>
      </c>
      <c r="V179" s="11" t="s">
        <v>2701</v>
      </c>
      <c r="W179" s="54">
        <f>INDEX([1]ACOMPANHAMENTO!H:H,MATCH(A179,[1]ACOMPANHAMENTO!A:A,0))</f>
        <v>45778</v>
      </c>
      <c r="X179" s="11">
        <f t="shared" ca="1" si="2"/>
        <v>-155</v>
      </c>
    </row>
    <row r="180" spans="1:24" x14ac:dyDescent="0.3">
      <c r="A180" s="5">
        <v>208</v>
      </c>
      <c r="B180" s="21">
        <v>112</v>
      </c>
      <c r="C180" s="3" t="s">
        <v>43</v>
      </c>
      <c r="D180" s="4" t="s">
        <v>319</v>
      </c>
      <c r="E180" s="11" t="s">
        <v>2548</v>
      </c>
      <c r="F180" s="18" t="s">
        <v>640</v>
      </c>
      <c r="G180" s="3" t="s">
        <v>137</v>
      </c>
      <c r="H180" s="4" t="s">
        <v>368</v>
      </c>
      <c r="K180" s="8" t="s">
        <v>1086</v>
      </c>
      <c r="S180" t="s">
        <v>1308</v>
      </c>
      <c r="T180" s="11" t="s">
        <v>1307</v>
      </c>
      <c r="U180" s="11" t="s">
        <v>683</v>
      </c>
      <c r="V180" s="11" t="s">
        <v>2824</v>
      </c>
      <c r="W180" s="54">
        <f>INDEX([1]ACOMPANHAMENTO!H:H,MATCH(A180,[1]ACOMPANHAMENTO!A:A,0))</f>
        <v>45901</v>
      </c>
      <c r="X180" s="11">
        <f t="shared" ca="1" si="2"/>
        <v>-32</v>
      </c>
    </row>
    <row r="181" spans="1:24" x14ac:dyDescent="0.3">
      <c r="A181" s="5">
        <v>209</v>
      </c>
      <c r="B181" s="21">
        <v>70</v>
      </c>
      <c r="C181" s="3" t="s">
        <v>65</v>
      </c>
      <c r="D181" s="4" t="s">
        <v>66</v>
      </c>
      <c r="E181" s="11" t="s">
        <v>2827</v>
      </c>
      <c r="F181" s="18" t="s">
        <v>641</v>
      </c>
      <c r="G181" s="3" t="s">
        <v>63</v>
      </c>
      <c r="H181" s="4" t="s">
        <v>64</v>
      </c>
      <c r="K181" s="8" t="s">
        <v>1055</v>
      </c>
      <c r="M181" s="35">
        <v>0.03</v>
      </c>
      <c r="S181" t="s">
        <v>1206</v>
      </c>
      <c r="T181" s="11" t="s">
        <v>1205</v>
      </c>
      <c r="U181" s="11" t="s">
        <v>3614</v>
      </c>
      <c r="V181" s="11" t="s">
        <v>3023</v>
      </c>
      <c r="W181" s="54">
        <f>INDEX([1]ACOMPANHAMENTO!H:H,MATCH(A181,[1]ACOMPANHAMENTO!A:A,0))</f>
        <v>45717</v>
      </c>
      <c r="X181" s="11">
        <f t="shared" ca="1" si="2"/>
        <v>-216</v>
      </c>
    </row>
    <row r="182" spans="1:24" x14ac:dyDescent="0.3">
      <c r="A182" s="5">
        <v>213</v>
      </c>
      <c r="B182" s="21">
        <v>27</v>
      </c>
      <c r="C182" s="3" t="s">
        <v>61</v>
      </c>
      <c r="D182" s="4" t="s">
        <v>331</v>
      </c>
      <c r="E182" s="11" t="s">
        <v>2827</v>
      </c>
      <c r="F182" s="18" t="s">
        <v>642</v>
      </c>
      <c r="G182" s="3" t="s">
        <v>60</v>
      </c>
      <c r="H182" s="4" t="s">
        <v>330</v>
      </c>
      <c r="K182" s="8" t="s">
        <v>1052</v>
      </c>
      <c r="L182" s="32">
        <v>1.4999999999999999E-2</v>
      </c>
      <c r="M182" s="35">
        <v>0.05</v>
      </c>
      <c r="S182" t="s">
        <v>1202</v>
      </c>
      <c r="T182" s="11" t="s">
        <v>1490</v>
      </c>
      <c r="U182" s="11" t="s">
        <v>876</v>
      </c>
      <c r="V182" s="11" t="s">
        <v>3181</v>
      </c>
      <c r="W182" s="54">
        <f>INDEX([1]ACOMPANHAMENTO!H:H,MATCH(A182,[1]ACOMPANHAMENTO!A:A,0))</f>
        <v>45717</v>
      </c>
      <c r="X182" s="11">
        <f t="shared" ca="1" si="2"/>
        <v>-216</v>
      </c>
    </row>
    <row r="183" spans="1:24" x14ac:dyDescent="0.3">
      <c r="A183" s="5">
        <v>215</v>
      </c>
      <c r="B183" s="21">
        <v>47</v>
      </c>
      <c r="C183" s="3" t="s">
        <v>72</v>
      </c>
      <c r="D183" s="4" t="s">
        <v>336</v>
      </c>
      <c r="E183" s="11" t="s">
        <v>2827</v>
      </c>
      <c r="F183" s="18" t="s">
        <v>643</v>
      </c>
      <c r="G183" s="3" t="s">
        <v>71</v>
      </c>
      <c r="H183" s="4" t="s">
        <v>335</v>
      </c>
      <c r="K183" s="8"/>
      <c r="S183" t="s">
        <v>1208</v>
      </c>
      <c r="T183" s="11" t="s">
        <v>1209</v>
      </c>
      <c r="U183" s="11" t="s">
        <v>747</v>
      </c>
      <c r="V183" s="11" t="s">
        <v>3456</v>
      </c>
      <c r="W183" s="54">
        <f>INDEX([1]ACOMPANHAMENTO!H:H,MATCH(A183,[1]ACOMPANHAMENTO!A:A,0))</f>
        <v>45323</v>
      </c>
      <c r="X183" s="11">
        <f t="shared" ca="1" si="2"/>
        <v>-610</v>
      </c>
    </row>
    <row r="184" spans="1:24" x14ac:dyDescent="0.3">
      <c r="A184" s="5">
        <v>216</v>
      </c>
      <c r="B184" s="21">
        <v>230</v>
      </c>
      <c r="C184" s="3" t="s">
        <v>141</v>
      </c>
      <c r="D184" s="4" t="s">
        <v>142</v>
      </c>
      <c r="E184" s="11" t="s">
        <v>2827</v>
      </c>
      <c r="F184" s="18" t="s">
        <v>644</v>
      </c>
      <c r="G184" s="3" t="s">
        <v>113</v>
      </c>
      <c r="H184" s="4" t="s">
        <v>114</v>
      </c>
      <c r="K184" s="8" t="s">
        <v>1055</v>
      </c>
      <c r="M184" s="35">
        <v>0.02</v>
      </c>
      <c r="S184" t="s">
        <v>1309</v>
      </c>
      <c r="T184" s="11" t="s">
        <v>1310</v>
      </c>
      <c r="U184" s="11" t="s">
        <v>3624</v>
      </c>
      <c r="V184" s="11" t="s">
        <v>3255</v>
      </c>
      <c r="W184" s="54">
        <f>INDEX([1]ACOMPANHAMENTO!H:H,MATCH(A184,[1]ACOMPANHAMENTO!A:A,0))</f>
        <v>45717</v>
      </c>
      <c r="X184" s="11">
        <f t="shared" ca="1" si="2"/>
        <v>-216</v>
      </c>
    </row>
    <row r="185" spans="1:24" x14ac:dyDescent="0.3">
      <c r="A185" s="5">
        <v>217</v>
      </c>
      <c r="B185" s="21">
        <v>230</v>
      </c>
      <c r="C185" s="3" t="s">
        <v>141</v>
      </c>
      <c r="D185" s="4" t="s">
        <v>142</v>
      </c>
      <c r="E185" s="11" t="s">
        <v>2827</v>
      </c>
      <c r="F185" s="18" t="s">
        <v>645</v>
      </c>
      <c r="G185" s="3" t="s">
        <v>113</v>
      </c>
      <c r="H185" s="4" t="s">
        <v>114</v>
      </c>
      <c r="K185" s="8" t="s">
        <v>1055</v>
      </c>
      <c r="M185" s="35">
        <v>0.02</v>
      </c>
      <c r="S185" t="s">
        <v>1309</v>
      </c>
      <c r="T185" s="11" t="s">
        <v>1310</v>
      </c>
      <c r="U185" s="11" t="s">
        <v>3624</v>
      </c>
      <c r="V185" s="11" t="s">
        <v>2851</v>
      </c>
      <c r="W185" s="54">
        <f>INDEX([1]ACOMPANHAMENTO!H:H,MATCH(A185,[1]ACOMPANHAMENTO!A:A,0))</f>
        <v>45717</v>
      </c>
      <c r="X185" s="11">
        <f t="shared" ca="1" si="2"/>
        <v>-216</v>
      </c>
    </row>
    <row r="186" spans="1:24" x14ac:dyDescent="0.3">
      <c r="A186" s="5">
        <v>218</v>
      </c>
      <c r="B186" s="21">
        <v>116</v>
      </c>
      <c r="C186" s="3" t="s">
        <v>129</v>
      </c>
      <c r="D186" s="4" t="s">
        <v>363</v>
      </c>
      <c r="E186" s="11" t="s">
        <v>2827</v>
      </c>
      <c r="F186" s="18" t="s">
        <v>646</v>
      </c>
      <c r="G186" s="3" t="s">
        <v>128</v>
      </c>
      <c r="H186" s="4" t="s">
        <v>362</v>
      </c>
      <c r="K186" s="8" t="s">
        <v>1065</v>
      </c>
      <c r="Q186" s="11" t="s">
        <v>1087</v>
      </c>
      <c r="S186" t="s">
        <v>1311</v>
      </c>
      <c r="T186" s="11" t="s">
        <v>1312</v>
      </c>
      <c r="U186" s="11" t="s">
        <v>941</v>
      </c>
      <c r="V186" s="11" t="s">
        <v>3457</v>
      </c>
      <c r="W186" s="54">
        <f>INDEX([1]ACOMPANHAMENTO!H:H,MATCH(A186,[1]ACOMPANHAMENTO!A:A,0))</f>
        <v>46204</v>
      </c>
      <c r="X186" s="11">
        <f t="shared" ca="1" si="2"/>
        <v>271</v>
      </c>
    </row>
    <row r="187" spans="1:24" x14ac:dyDescent="0.3">
      <c r="A187" s="5">
        <v>219</v>
      </c>
      <c r="B187" s="21">
        <v>47</v>
      </c>
      <c r="C187" s="3" t="s">
        <v>72</v>
      </c>
      <c r="D187" s="4" t="s">
        <v>336</v>
      </c>
      <c r="E187" s="11" t="s">
        <v>2827</v>
      </c>
      <c r="F187" s="18" t="s">
        <v>747</v>
      </c>
      <c r="G187" s="3" t="s">
        <v>71</v>
      </c>
      <c r="H187" s="4" t="s">
        <v>335</v>
      </c>
      <c r="K187" s="8"/>
      <c r="S187" t="s">
        <v>1208</v>
      </c>
      <c r="T187" s="11" t="s">
        <v>1209</v>
      </c>
      <c r="U187" s="11" t="s">
        <v>747</v>
      </c>
      <c r="V187" s="11" t="s">
        <v>3165</v>
      </c>
      <c r="W187" s="54">
        <f>INDEX([1]ACOMPANHAMENTO!H:H,MATCH(A187,[1]ACOMPANHAMENTO!A:A,0))</f>
        <v>45323</v>
      </c>
      <c r="X187" s="11">
        <f t="shared" ca="1" si="2"/>
        <v>-610</v>
      </c>
    </row>
    <row r="188" spans="1:24" x14ac:dyDescent="0.3">
      <c r="A188" s="5">
        <v>220</v>
      </c>
      <c r="B188" s="21">
        <v>151</v>
      </c>
      <c r="C188" s="3" t="s">
        <v>144</v>
      </c>
      <c r="D188" s="4" t="s">
        <v>371</v>
      </c>
      <c r="E188" s="11" t="s">
        <v>2548</v>
      </c>
      <c r="F188" s="18" t="s">
        <v>647</v>
      </c>
      <c r="G188" s="3" t="s">
        <v>143</v>
      </c>
      <c r="H188" s="4" t="s">
        <v>370</v>
      </c>
      <c r="K188" s="8" t="s">
        <v>1088</v>
      </c>
      <c r="S188" t="s">
        <v>1313</v>
      </c>
      <c r="T188" s="11" t="s">
        <v>1314</v>
      </c>
      <c r="U188" s="11" t="s">
        <v>647</v>
      </c>
      <c r="V188" s="11" t="s">
        <v>3458</v>
      </c>
      <c r="W188" s="54">
        <f>INDEX([1]ACOMPANHAMENTO!H:H,MATCH(A188,[1]ACOMPANHAMENTO!A:A,0))</f>
        <v>45962</v>
      </c>
      <c r="X188" s="11">
        <f t="shared" ca="1" si="2"/>
        <v>29</v>
      </c>
    </row>
    <row r="189" spans="1:24" x14ac:dyDescent="0.3">
      <c r="A189" s="5">
        <v>221</v>
      </c>
      <c r="B189" s="21">
        <v>226</v>
      </c>
      <c r="C189" s="3" t="s">
        <v>31</v>
      </c>
      <c r="D189" s="4" t="s">
        <v>32</v>
      </c>
      <c r="E189" s="11" t="s">
        <v>2827</v>
      </c>
      <c r="F189" s="18" t="s">
        <v>648</v>
      </c>
      <c r="G189" s="3" t="s">
        <v>3</v>
      </c>
      <c r="H189" s="4" t="s">
        <v>7</v>
      </c>
      <c r="K189" s="8" t="s">
        <v>1055</v>
      </c>
      <c r="S189" t="s">
        <v>1316</v>
      </c>
      <c r="T189" s="11" t="s">
        <v>1315</v>
      </c>
      <c r="U189" s="11" t="s">
        <v>557</v>
      </c>
      <c r="V189" s="11" t="s">
        <v>3092</v>
      </c>
      <c r="W189" s="54">
        <f>INDEX([1]ACOMPANHAMENTO!H:H,MATCH(A189,[1]ACOMPANHAMENTO!A:A,0))</f>
        <v>45717</v>
      </c>
      <c r="X189" s="11">
        <f t="shared" ca="1" si="2"/>
        <v>-216</v>
      </c>
    </row>
    <row r="190" spans="1:24" x14ac:dyDescent="0.3">
      <c r="A190" s="5">
        <v>222</v>
      </c>
      <c r="B190" s="21">
        <v>141</v>
      </c>
      <c r="C190" s="3" t="s">
        <v>455</v>
      </c>
      <c r="D190" s="4" t="s">
        <v>454</v>
      </c>
      <c r="E190" s="11" t="s">
        <v>2548</v>
      </c>
      <c r="F190" s="18" t="s">
        <v>649</v>
      </c>
      <c r="G190" s="3" t="s">
        <v>457</v>
      </c>
      <c r="H190" s="4" t="s">
        <v>456</v>
      </c>
      <c r="K190" s="8" t="s">
        <v>1085</v>
      </c>
      <c r="S190" t="s">
        <v>1272</v>
      </c>
      <c r="T190" s="11" t="s">
        <v>1272</v>
      </c>
      <c r="U190" s="11" t="s">
        <v>3659</v>
      </c>
      <c r="V190" s="11" t="s">
        <v>2596</v>
      </c>
      <c r="W190" s="54">
        <f>INDEX([1]ACOMPANHAMENTO!H:H,MATCH(A190,[1]ACOMPANHAMENTO!A:A,0))</f>
        <v>45962</v>
      </c>
      <c r="X190" s="11">
        <f t="shared" ca="1" si="2"/>
        <v>29</v>
      </c>
    </row>
    <row r="191" spans="1:24" x14ac:dyDescent="0.3">
      <c r="A191" s="5">
        <v>223</v>
      </c>
      <c r="B191" s="21">
        <v>120</v>
      </c>
      <c r="C191" s="3" t="s">
        <v>146</v>
      </c>
      <c r="D191" s="4" t="s">
        <v>373</v>
      </c>
      <c r="E191" s="11" t="s">
        <v>2827</v>
      </c>
      <c r="F191" s="18" t="s">
        <v>942</v>
      </c>
      <c r="G191" s="3" t="s">
        <v>60</v>
      </c>
      <c r="H191" s="4" t="s">
        <v>330</v>
      </c>
      <c r="K191" s="8" t="s">
        <v>1067</v>
      </c>
      <c r="L191" s="32">
        <v>1.4999999999999999E-2</v>
      </c>
      <c r="M191" s="35">
        <v>0.05</v>
      </c>
      <c r="S191" t="s">
        <v>1317</v>
      </c>
      <c r="T191" s="11" t="s">
        <v>1318</v>
      </c>
      <c r="U191" s="11" t="s">
        <v>3613</v>
      </c>
      <c r="V191" s="11" t="s">
        <v>3053</v>
      </c>
      <c r="W191" s="54">
        <f>INDEX([1]ACOMPANHAMENTO!H:H,MATCH(A191,[1]ACOMPANHAMENTO!A:A,0))</f>
        <v>45717</v>
      </c>
      <c r="X191" s="11">
        <f t="shared" ca="1" si="2"/>
        <v>-216</v>
      </c>
    </row>
    <row r="192" spans="1:24" x14ac:dyDescent="0.3">
      <c r="A192" s="5">
        <v>224</v>
      </c>
      <c r="B192" s="21">
        <v>43</v>
      </c>
      <c r="C192" s="3" t="s">
        <v>58</v>
      </c>
      <c r="D192" s="4" t="s">
        <v>59</v>
      </c>
      <c r="E192" s="11" t="s">
        <v>2827</v>
      </c>
      <c r="F192" s="18" t="s">
        <v>715</v>
      </c>
      <c r="G192" s="3" t="s">
        <v>56</v>
      </c>
      <c r="H192" s="4" t="s">
        <v>57</v>
      </c>
      <c r="K192" s="8" t="s">
        <v>1052</v>
      </c>
      <c r="M192" s="35">
        <v>0.03</v>
      </c>
      <c r="S192" t="s">
        <v>1200</v>
      </c>
      <c r="T192" s="11" t="s">
        <v>1201</v>
      </c>
      <c r="U192" s="11" t="s">
        <v>3612</v>
      </c>
      <c r="V192" s="11" t="s">
        <v>3127</v>
      </c>
      <c r="W192" s="54">
        <f>INDEX([1]ACOMPANHAMENTO!H:H,MATCH(A192,[1]ACOMPANHAMENTO!A:A,0))</f>
        <v>45748</v>
      </c>
      <c r="X192" s="11">
        <f t="shared" ca="1" si="2"/>
        <v>-185</v>
      </c>
    </row>
    <row r="193" spans="1:24" x14ac:dyDescent="0.3">
      <c r="A193" s="5">
        <v>225</v>
      </c>
      <c r="B193" s="21">
        <v>42</v>
      </c>
      <c r="C193" s="3" t="s">
        <v>43</v>
      </c>
      <c r="D193" s="4" t="s">
        <v>319</v>
      </c>
      <c r="E193" s="11" t="s">
        <v>1510</v>
      </c>
      <c r="F193" s="18" t="s">
        <v>650</v>
      </c>
      <c r="G193" s="3" t="s">
        <v>42</v>
      </c>
      <c r="H193" s="4" t="s">
        <v>318</v>
      </c>
      <c r="K193" s="8" t="s">
        <v>1062</v>
      </c>
      <c r="S193" t="s">
        <v>1180</v>
      </c>
      <c r="T193" s="11" t="s">
        <v>1181</v>
      </c>
      <c r="U193" s="11" t="s">
        <v>683</v>
      </c>
      <c r="V193" s="11" t="s">
        <v>1940</v>
      </c>
      <c r="W193" s="54">
        <f>INDEX([1]ACOMPANHAMENTO!H:H,MATCH(A193,[1]ACOMPANHAMENTO!A:A,0))</f>
        <v>45901</v>
      </c>
      <c r="X193" s="11">
        <f t="shared" ca="1" si="2"/>
        <v>-32</v>
      </c>
    </row>
    <row r="194" spans="1:24" x14ac:dyDescent="0.3">
      <c r="A194" s="5">
        <v>226</v>
      </c>
      <c r="B194" s="21">
        <v>29</v>
      </c>
      <c r="C194" s="3" t="s">
        <v>55</v>
      </c>
      <c r="D194" s="4" t="s">
        <v>133</v>
      </c>
      <c r="E194" s="11" t="s">
        <v>2827</v>
      </c>
      <c r="F194" s="18" t="s">
        <v>883</v>
      </c>
      <c r="G194" s="3" t="s">
        <v>54</v>
      </c>
      <c r="H194" s="4" t="s">
        <v>329</v>
      </c>
      <c r="K194" s="8" t="s">
        <v>1067</v>
      </c>
      <c r="M194" s="35">
        <v>2.1999999999999999E-2</v>
      </c>
      <c r="S194" t="s">
        <v>1196</v>
      </c>
      <c r="T194" s="11" t="s">
        <v>1197</v>
      </c>
      <c r="U194" s="11" t="s">
        <v>883</v>
      </c>
      <c r="V194" s="11" t="s">
        <v>3186</v>
      </c>
      <c r="W194" s="54">
        <f>INDEX([1]ACOMPANHAMENTO!H:H,MATCH(A194,[1]ACOMPANHAMENTO!A:A,0))</f>
        <v>45748</v>
      </c>
      <c r="X194" s="11">
        <f t="shared" ca="1" si="2"/>
        <v>-185</v>
      </c>
    </row>
    <row r="195" spans="1:24" x14ac:dyDescent="0.3">
      <c r="A195" s="5">
        <v>227</v>
      </c>
      <c r="B195" s="21">
        <v>42</v>
      </c>
      <c r="C195" s="3" t="s">
        <v>43</v>
      </c>
      <c r="D195" s="4" t="s">
        <v>319</v>
      </c>
      <c r="E195" s="11" t="s">
        <v>2548</v>
      </c>
      <c r="F195" s="18" t="s">
        <v>683</v>
      </c>
      <c r="G195" s="3" t="s">
        <v>42</v>
      </c>
      <c r="H195" s="4" t="s">
        <v>318</v>
      </c>
      <c r="K195" s="8" t="s">
        <v>1062</v>
      </c>
      <c r="S195" t="s">
        <v>1180</v>
      </c>
      <c r="T195" s="11" t="s">
        <v>1181</v>
      </c>
      <c r="U195" s="11" t="s">
        <v>683</v>
      </c>
      <c r="V195" s="11" t="s">
        <v>3412</v>
      </c>
      <c r="W195" s="54">
        <f>INDEX([1]ACOMPANHAMENTO!H:H,MATCH(A195,[1]ACOMPANHAMENTO!A:A,0))</f>
        <v>45901</v>
      </c>
      <c r="X195" s="11">
        <f t="shared" ref="X195:X258" ca="1" si="3">W195-TODAY()</f>
        <v>-32</v>
      </c>
    </row>
    <row r="196" spans="1:24" x14ac:dyDescent="0.3">
      <c r="A196" s="5">
        <v>229</v>
      </c>
      <c r="B196" s="21">
        <v>33</v>
      </c>
      <c r="C196" s="3" t="s">
        <v>92</v>
      </c>
      <c r="D196" s="4" t="s">
        <v>350</v>
      </c>
      <c r="E196" s="11" t="s">
        <v>2827</v>
      </c>
      <c r="F196" s="18" t="s">
        <v>746</v>
      </c>
      <c r="G196" s="3" t="s">
        <v>51</v>
      </c>
      <c r="H196" s="4" t="s">
        <v>134</v>
      </c>
      <c r="K196" s="8" t="s">
        <v>1067</v>
      </c>
      <c r="M196" s="35">
        <v>0.06</v>
      </c>
      <c r="S196" t="s">
        <v>1238</v>
      </c>
      <c r="T196" s="11" t="s">
        <v>1237</v>
      </c>
      <c r="U196" s="11" t="s">
        <v>746</v>
      </c>
      <c r="V196" s="11" t="s">
        <v>2904</v>
      </c>
      <c r="W196" s="54">
        <f>INDEX([1]ACOMPANHAMENTO!H:H,MATCH(A196,[1]ACOMPANHAMENTO!A:A,0))</f>
        <v>45962</v>
      </c>
      <c r="X196" s="11">
        <f t="shared" ca="1" si="3"/>
        <v>29</v>
      </c>
    </row>
    <row r="197" spans="1:24" x14ac:dyDescent="0.3">
      <c r="A197" s="5">
        <v>231</v>
      </c>
      <c r="B197" s="21">
        <v>79</v>
      </c>
      <c r="C197" s="3" t="s">
        <v>107</v>
      </c>
      <c r="D197" s="4" t="s">
        <v>108</v>
      </c>
      <c r="E197" s="11" t="s">
        <v>2827</v>
      </c>
      <c r="F197" s="18" t="s">
        <v>651</v>
      </c>
      <c r="G197" s="3" t="s">
        <v>87</v>
      </c>
      <c r="H197" s="4" t="s">
        <v>449</v>
      </c>
      <c r="K197" s="8" t="s">
        <v>1065</v>
      </c>
      <c r="S197" t="s">
        <v>1260</v>
      </c>
      <c r="T197" s="11" t="s">
        <v>1259</v>
      </c>
      <c r="U197" s="11" t="s">
        <v>3619</v>
      </c>
      <c r="V197" s="11" t="s">
        <v>3459</v>
      </c>
      <c r="W197" s="54">
        <f>INDEX([1]ACOMPANHAMENTO!H:H,MATCH(A197,[1]ACOMPANHAMENTO!A:A,0))</f>
        <v>46082</v>
      </c>
      <c r="X197" s="11">
        <f t="shared" ca="1" si="3"/>
        <v>149</v>
      </c>
    </row>
    <row r="198" spans="1:24" x14ac:dyDescent="0.3">
      <c r="A198" s="5">
        <v>232</v>
      </c>
      <c r="B198" s="21">
        <v>122</v>
      </c>
      <c r="C198" s="3" t="s">
        <v>149</v>
      </c>
      <c r="D198" s="4" t="s">
        <v>176</v>
      </c>
      <c r="E198" s="11" t="s">
        <v>2156</v>
      </c>
      <c r="F198" s="18" t="s">
        <v>716</v>
      </c>
      <c r="G198" s="3" t="s">
        <v>148</v>
      </c>
      <c r="H198" s="4" t="s">
        <v>375</v>
      </c>
      <c r="K198" s="8" t="s">
        <v>1052</v>
      </c>
      <c r="S198" t="s">
        <v>1319</v>
      </c>
      <c r="T198" s="11" t="s">
        <v>1320</v>
      </c>
      <c r="U198" s="11" t="s">
        <v>716</v>
      </c>
      <c r="V198" s="11" t="s">
        <v>2409</v>
      </c>
      <c r="W198" s="54">
        <f>INDEX([1]ACOMPANHAMENTO!H:H,MATCH(A198,[1]ACOMPANHAMENTO!A:A,0))</f>
        <v>45809</v>
      </c>
      <c r="X198" s="11">
        <f t="shared" ca="1" si="3"/>
        <v>-124</v>
      </c>
    </row>
    <row r="199" spans="1:24" x14ac:dyDescent="0.3">
      <c r="A199" s="5">
        <v>233</v>
      </c>
      <c r="B199" s="21">
        <v>123</v>
      </c>
      <c r="C199" s="3" t="s">
        <v>153</v>
      </c>
      <c r="D199" s="4" t="s">
        <v>378</v>
      </c>
      <c r="E199" s="11" t="s">
        <v>2156</v>
      </c>
      <c r="F199" s="18" t="s">
        <v>652</v>
      </c>
      <c r="G199" s="3" t="s">
        <v>150</v>
      </c>
      <c r="H199" s="4" t="s">
        <v>376</v>
      </c>
      <c r="K199" s="8" t="s">
        <v>1090</v>
      </c>
      <c r="S199" t="s">
        <v>1321</v>
      </c>
      <c r="T199" s="11" t="s">
        <v>1272</v>
      </c>
      <c r="U199" s="11" t="s">
        <v>652</v>
      </c>
      <c r="V199" s="11" t="s">
        <v>3460</v>
      </c>
      <c r="W199" s="54">
        <f>INDEX([1]ACOMPANHAMENTO!H:H,MATCH(A199,[1]ACOMPANHAMENTO!A:A,0))</f>
        <v>45809</v>
      </c>
      <c r="X199" s="11">
        <f t="shared" ca="1" si="3"/>
        <v>-124</v>
      </c>
    </row>
    <row r="200" spans="1:24" x14ac:dyDescent="0.3">
      <c r="A200" s="5">
        <v>234</v>
      </c>
      <c r="B200" s="21">
        <v>124</v>
      </c>
      <c r="C200" s="3" t="s">
        <v>156</v>
      </c>
      <c r="D200" s="4" t="s">
        <v>379</v>
      </c>
      <c r="E200" s="11" t="s">
        <v>2548</v>
      </c>
      <c r="F200" s="18" t="s">
        <v>653</v>
      </c>
      <c r="G200" s="3" t="s">
        <v>154</v>
      </c>
      <c r="H200" s="4" t="s">
        <v>155</v>
      </c>
      <c r="K200" s="8" t="s">
        <v>1091</v>
      </c>
      <c r="S200" t="s">
        <v>1339</v>
      </c>
      <c r="T200" s="11" t="s">
        <v>1272</v>
      </c>
      <c r="U200" s="11" t="s">
        <v>3629</v>
      </c>
      <c r="V200" s="11" t="s">
        <v>2604</v>
      </c>
      <c r="W200" s="54">
        <f>INDEX([1]ACOMPANHAMENTO!H:H,MATCH(A200,[1]ACOMPANHAMENTO!A:A,0))</f>
        <v>46023</v>
      </c>
      <c r="X200" s="11">
        <f t="shared" ca="1" si="3"/>
        <v>90</v>
      </c>
    </row>
    <row r="201" spans="1:24" x14ac:dyDescent="0.3">
      <c r="A201" s="5">
        <v>235</v>
      </c>
      <c r="B201" s="21">
        <v>157</v>
      </c>
      <c r="C201" s="3" t="s">
        <v>144</v>
      </c>
      <c r="D201" s="4" t="s">
        <v>371</v>
      </c>
      <c r="E201" s="11" t="s">
        <v>2548</v>
      </c>
      <c r="F201" s="18" t="s">
        <v>654</v>
      </c>
      <c r="G201" s="3" t="s">
        <v>157</v>
      </c>
      <c r="H201" s="4" t="s">
        <v>458</v>
      </c>
      <c r="K201" s="8" t="s">
        <v>1085</v>
      </c>
      <c r="S201" t="s">
        <v>1323</v>
      </c>
      <c r="T201" s="11" t="s">
        <v>1322</v>
      </c>
      <c r="U201" s="11" t="s">
        <v>647</v>
      </c>
      <c r="V201" s="11" t="s">
        <v>3461</v>
      </c>
      <c r="W201" s="54">
        <f>INDEX([1]ACOMPANHAMENTO!H:H,MATCH(A201,[1]ACOMPANHAMENTO!A:A,0))</f>
        <v>45870</v>
      </c>
      <c r="X201" s="11">
        <f t="shared" ca="1" si="3"/>
        <v>-63</v>
      </c>
    </row>
    <row r="202" spans="1:24" x14ac:dyDescent="0.3">
      <c r="A202" s="5">
        <v>236</v>
      </c>
      <c r="B202" s="21">
        <v>126</v>
      </c>
      <c r="C202" s="3" t="s">
        <v>460</v>
      </c>
      <c r="D202" s="4" t="s">
        <v>459</v>
      </c>
      <c r="E202" s="11" t="s">
        <v>2548</v>
      </c>
      <c r="F202" s="18" t="s">
        <v>655</v>
      </c>
      <c r="G202" s="3" t="s">
        <v>461</v>
      </c>
      <c r="H202" s="4" t="s">
        <v>462</v>
      </c>
      <c r="K202" s="8" t="s">
        <v>1088</v>
      </c>
      <c r="S202" t="s">
        <v>1324</v>
      </c>
      <c r="T202" s="11" t="s">
        <v>1325</v>
      </c>
      <c r="U202" s="11" t="s">
        <v>655</v>
      </c>
      <c r="V202" s="11" t="s">
        <v>2819</v>
      </c>
      <c r="W202" s="54">
        <f>INDEX([1]ACOMPANHAMENTO!H:H,MATCH(A202,[1]ACOMPANHAMENTO!A:A,0))</f>
        <v>46023</v>
      </c>
      <c r="X202" s="11">
        <f t="shared" ca="1" si="3"/>
        <v>90</v>
      </c>
    </row>
    <row r="203" spans="1:24" x14ac:dyDescent="0.3">
      <c r="A203" s="5">
        <v>238</v>
      </c>
      <c r="B203" s="21">
        <v>127</v>
      </c>
      <c r="C203" s="3" t="s">
        <v>159</v>
      </c>
      <c r="D203" s="4" t="s">
        <v>160</v>
      </c>
      <c r="E203" s="11" t="s">
        <v>2156</v>
      </c>
      <c r="F203" s="18" t="s">
        <v>819</v>
      </c>
      <c r="G203" s="3" t="s">
        <v>158</v>
      </c>
      <c r="H203" s="4" t="s">
        <v>380</v>
      </c>
      <c r="K203" s="8" t="s">
        <v>1090</v>
      </c>
      <c r="S203" t="s">
        <v>1326</v>
      </c>
      <c r="T203" s="11" t="s">
        <v>1320</v>
      </c>
      <c r="U203" s="11" t="s">
        <v>819</v>
      </c>
      <c r="V203" s="11" t="s">
        <v>2527</v>
      </c>
      <c r="W203" s="54">
        <f>INDEX([1]ACOMPANHAMENTO!H:H,MATCH(A203,[1]ACOMPANHAMENTO!A:A,0))</f>
        <v>45809</v>
      </c>
      <c r="X203" s="11">
        <f t="shared" ca="1" si="3"/>
        <v>-124</v>
      </c>
    </row>
    <row r="204" spans="1:24" x14ac:dyDescent="0.3">
      <c r="A204" s="5">
        <v>239</v>
      </c>
      <c r="B204" s="21">
        <v>129</v>
      </c>
      <c r="C204" s="3" t="s">
        <v>163</v>
      </c>
      <c r="D204" s="4" t="s">
        <v>164</v>
      </c>
      <c r="E204" s="11" t="s">
        <v>2156</v>
      </c>
      <c r="F204" s="18" t="s">
        <v>906</v>
      </c>
      <c r="G204" s="3" t="s">
        <v>161</v>
      </c>
      <c r="H204" s="4" t="s">
        <v>162</v>
      </c>
      <c r="K204" s="8" t="s">
        <v>1092</v>
      </c>
      <c r="S204" t="s">
        <v>1328</v>
      </c>
      <c r="T204" s="11" t="s">
        <v>1327</v>
      </c>
      <c r="U204" s="11" t="s">
        <v>906</v>
      </c>
      <c r="V204" s="11" t="s">
        <v>2224</v>
      </c>
      <c r="W204" s="54">
        <f>INDEX([1]ACOMPANHAMENTO!H:H,MATCH(A204,[1]ACOMPANHAMENTO!A:A,0))</f>
        <v>45809</v>
      </c>
      <c r="X204" s="11">
        <f t="shared" ca="1" si="3"/>
        <v>-124</v>
      </c>
    </row>
    <row r="205" spans="1:24" x14ac:dyDescent="0.3">
      <c r="A205" s="5">
        <v>240</v>
      </c>
      <c r="B205" s="21">
        <v>122</v>
      </c>
      <c r="C205" s="3" t="s">
        <v>149</v>
      </c>
      <c r="D205" s="4" t="s">
        <v>176</v>
      </c>
      <c r="E205" s="11" t="s">
        <v>2156</v>
      </c>
      <c r="F205" s="18" t="s">
        <v>656</v>
      </c>
      <c r="G205" s="3" t="s">
        <v>148</v>
      </c>
      <c r="H205" s="4" t="s">
        <v>375</v>
      </c>
      <c r="K205" s="8" t="s">
        <v>1052</v>
      </c>
      <c r="S205" t="s">
        <v>1319</v>
      </c>
      <c r="T205" s="11" t="s">
        <v>1320</v>
      </c>
      <c r="U205" s="11" t="s">
        <v>716</v>
      </c>
      <c r="V205" s="11" t="s">
        <v>2242</v>
      </c>
      <c r="W205" s="54">
        <f>INDEX([1]ACOMPANHAMENTO!H:H,MATCH(A205,[1]ACOMPANHAMENTO!A:A,0))</f>
        <v>45809</v>
      </c>
      <c r="X205" s="11">
        <f t="shared" ca="1" si="3"/>
        <v>-124</v>
      </c>
    </row>
    <row r="206" spans="1:24" x14ac:dyDescent="0.3">
      <c r="A206" s="5">
        <v>241</v>
      </c>
      <c r="B206" s="21">
        <v>248</v>
      </c>
      <c r="C206" s="3" t="s">
        <v>6</v>
      </c>
      <c r="D206" s="4" t="s">
        <v>430</v>
      </c>
      <c r="E206" s="11" t="s">
        <v>2827</v>
      </c>
      <c r="F206" s="18" t="s">
        <v>657</v>
      </c>
      <c r="G206" s="3" t="s">
        <v>3</v>
      </c>
      <c r="H206" s="4" t="s">
        <v>7</v>
      </c>
      <c r="K206" s="8" t="s">
        <v>1052</v>
      </c>
      <c r="S206" t="s">
        <v>1152</v>
      </c>
      <c r="T206" s="11" t="s">
        <v>1172</v>
      </c>
      <c r="U206" s="11" t="s">
        <v>695</v>
      </c>
      <c r="V206" s="11" t="s">
        <v>3172</v>
      </c>
      <c r="W206" s="54">
        <f>INDEX([1]ACOMPANHAMENTO!H:H,MATCH(A206,[1]ACOMPANHAMENTO!A:A,0))</f>
        <v>45413</v>
      </c>
      <c r="X206" s="11">
        <f t="shared" ca="1" si="3"/>
        <v>-520</v>
      </c>
    </row>
    <row r="207" spans="1:24" x14ac:dyDescent="0.3">
      <c r="A207" s="5">
        <v>244</v>
      </c>
      <c r="B207" s="21">
        <v>133</v>
      </c>
      <c r="C207" s="3" t="s">
        <v>168</v>
      </c>
      <c r="D207" s="4" t="s">
        <v>384</v>
      </c>
      <c r="E207" s="11" t="s">
        <v>2548</v>
      </c>
      <c r="F207" s="18" t="s">
        <v>658</v>
      </c>
      <c r="G207" s="3" t="s">
        <v>167</v>
      </c>
      <c r="H207" s="4" t="s">
        <v>383</v>
      </c>
      <c r="K207" s="8" t="s">
        <v>1093</v>
      </c>
      <c r="S207" t="s">
        <v>1329</v>
      </c>
      <c r="T207" s="11" t="s">
        <v>1330</v>
      </c>
      <c r="U207" s="11" t="s">
        <v>745</v>
      </c>
      <c r="V207" s="11" t="s">
        <v>3463</v>
      </c>
      <c r="W207" s="54">
        <f>INDEX([1]ACOMPANHAMENTO!H:H,MATCH(A207,[1]ACOMPANHAMENTO!A:A,0))</f>
        <v>46143</v>
      </c>
      <c r="X207" s="11">
        <f t="shared" ca="1" si="3"/>
        <v>210</v>
      </c>
    </row>
    <row r="208" spans="1:24" x14ac:dyDescent="0.3">
      <c r="A208" s="5">
        <v>245</v>
      </c>
      <c r="B208" s="21">
        <v>130</v>
      </c>
      <c r="C208" s="3" t="s">
        <v>149</v>
      </c>
      <c r="D208" s="4" t="s">
        <v>176</v>
      </c>
      <c r="E208" s="11" t="s">
        <v>2156</v>
      </c>
      <c r="F208" s="18" t="s">
        <v>659</v>
      </c>
      <c r="G208" s="3" t="s">
        <v>169</v>
      </c>
      <c r="H208" s="4" t="s">
        <v>385</v>
      </c>
      <c r="K208" s="8" t="s">
        <v>1052</v>
      </c>
      <c r="S208" t="s">
        <v>1332</v>
      </c>
      <c r="T208" s="11" t="s">
        <v>1331</v>
      </c>
      <c r="U208" s="11" t="s">
        <v>716</v>
      </c>
      <c r="V208" s="11" t="s">
        <v>2220</v>
      </c>
      <c r="W208" s="54">
        <f>INDEX([1]ACOMPANHAMENTO!H:H,MATCH(A208,[1]ACOMPANHAMENTO!A:A,0))</f>
        <v>45809</v>
      </c>
      <c r="X208" s="11">
        <f t="shared" ca="1" si="3"/>
        <v>-124</v>
      </c>
    </row>
    <row r="209" spans="1:24" x14ac:dyDescent="0.3">
      <c r="A209" s="5">
        <v>246</v>
      </c>
      <c r="B209" s="21">
        <v>128</v>
      </c>
      <c r="C209" s="3" t="s">
        <v>465</v>
      </c>
      <c r="D209" s="4" t="s">
        <v>466</v>
      </c>
      <c r="E209" s="11" t="s">
        <v>2548</v>
      </c>
      <c r="F209" s="18" t="s">
        <v>660</v>
      </c>
      <c r="G209" s="3" t="s">
        <v>463</v>
      </c>
      <c r="H209" s="4" t="s">
        <v>464</v>
      </c>
      <c r="K209" s="8" t="s">
        <v>1088</v>
      </c>
      <c r="S209" t="s">
        <v>1333</v>
      </c>
      <c r="T209" s="11" t="s">
        <v>1334</v>
      </c>
      <c r="U209" s="11" t="s">
        <v>3654</v>
      </c>
      <c r="V209" s="11" t="s">
        <v>2637</v>
      </c>
      <c r="W209" s="54">
        <f>INDEX([1]ACOMPANHAMENTO!H:H,MATCH(A209,[1]ACOMPANHAMENTO!A:A,0))</f>
        <v>45839</v>
      </c>
      <c r="X209" s="11">
        <f t="shared" ca="1" si="3"/>
        <v>-94</v>
      </c>
    </row>
    <row r="210" spans="1:24" x14ac:dyDescent="0.3">
      <c r="A210" s="5">
        <v>247</v>
      </c>
      <c r="B210" s="21">
        <v>50</v>
      </c>
      <c r="C210" s="3" t="s">
        <v>441</v>
      </c>
      <c r="D210" s="4" t="s">
        <v>440</v>
      </c>
      <c r="E210" s="11" t="s">
        <v>2827</v>
      </c>
      <c r="F210" s="18" t="s">
        <v>661</v>
      </c>
      <c r="G210" s="3" t="s">
        <v>443</v>
      </c>
      <c r="H210" s="4" t="s">
        <v>442</v>
      </c>
      <c r="K210" s="8" t="s">
        <v>1055</v>
      </c>
      <c r="L210" s="32">
        <v>0.01</v>
      </c>
      <c r="M210" s="35">
        <v>0.03</v>
      </c>
      <c r="Q210" s="11" t="s">
        <v>1076</v>
      </c>
      <c r="S210" t="s">
        <v>1230</v>
      </c>
      <c r="T210" s="11" t="s">
        <v>1231</v>
      </c>
      <c r="U210" s="11" t="s">
        <v>824</v>
      </c>
      <c r="V210" s="11" t="s">
        <v>3464</v>
      </c>
      <c r="W210" s="54">
        <f>INDEX([1]ACOMPANHAMENTO!H:H,MATCH(A210,[1]ACOMPANHAMENTO!A:A,0))</f>
        <v>45809</v>
      </c>
      <c r="X210" s="11">
        <f t="shared" ca="1" si="3"/>
        <v>-124</v>
      </c>
    </row>
    <row r="211" spans="1:24" x14ac:dyDescent="0.3">
      <c r="A211" s="5">
        <v>248</v>
      </c>
      <c r="B211" s="21">
        <v>129</v>
      </c>
      <c r="C211" s="3" t="s">
        <v>163</v>
      </c>
      <c r="D211" s="4" t="s">
        <v>164</v>
      </c>
      <c r="E211" s="11" t="s">
        <v>2156</v>
      </c>
      <c r="F211" s="18" t="s">
        <v>662</v>
      </c>
      <c r="G211" s="3" t="s">
        <v>161</v>
      </c>
      <c r="H211" s="4" t="s">
        <v>162</v>
      </c>
      <c r="K211" s="8" t="s">
        <v>1092</v>
      </c>
      <c r="S211" t="s">
        <v>1328</v>
      </c>
      <c r="T211" s="11" t="s">
        <v>1327</v>
      </c>
      <c r="U211" s="11" t="s">
        <v>906</v>
      </c>
      <c r="V211" s="11" t="s">
        <v>2441</v>
      </c>
      <c r="W211" s="54">
        <f>INDEX([1]ACOMPANHAMENTO!H:H,MATCH(A211,[1]ACOMPANHAMENTO!A:A,0))</f>
        <v>45809</v>
      </c>
      <c r="X211" s="11">
        <f t="shared" ca="1" si="3"/>
        <v>-124</v>
      </c>
    </row>
    <row r="212" spans="1:24" x14ac:dyDescent="0.3">
      <c r="A212" s="5">
        <v>249</v>
      </c>
      <c r="B212" s="21">
        <v>131</v>
      </c>
      <c r="C212" s="5" t="s">
        <v>171</v>
      </c>
      <c r="D212" s="11" t="s">
        <v>387</v>
      </c>
      <c r="E212" s="11" t="s">
        <v>2548</v>
      </c>
      <c r="F212" s="18" t="s">
        <v>663</v>
      </c>
      <c r="G212" s="3" t="s">
        <v>170</v>
      </c>
      <c r="H212" s="4" t="s">
        <v>437</v>
      </c>
      <c r="K212" s="8" t="s">
        <v>1094</v>
      </c>
      <c r="S212" t="s">
        <v>1335</v>
      </c>
      <c r="T212" s="11" t="s">
        <v>1331</v>
      </c>
      <c r="U212" s="11" t="s">
        <v>663</v>
      </c>
      <c r="V212" s="11" t="s">
        <v>2606</v>
      </c>
      <c r="W212" s="54">
        <f>INDEX([1]ACOMPANHAMENTO!H:H,MATCH(A212,[1]ACOMPANHAMENTO!A:A,0))</f>
        <v>45778</v>
      </c>
      <c r="X212" s="11">
        <f t="shared" ca="1" si="3"/>
        <v>-155</v>
      </c>
    </row>
    <row r="213" spans="1:24" x14ac:dyDescent="0.3">
      <c r="A213" s="5">
        <v>250</v>
      </c>
      <c r="B213" s="21">
        <v>133</v>
      </c>
      <c r="C213" s="3" t="s">
        <v>168</v>
      </c>
      <c r="D213" s="4" t="s">
        <v>384</v>
      </c>
      <c r="E213" s="11" t="s">
        <v>2548</v>
      </c>
      <c r="F213" s="18" t="s">
        <v>745</v>
      </c>
      <c r="G213" s="3" t="s">
        <v>167</v>
      </c>
      <c r="H213" s="4" t="s">
        <v>383</v>
      </c>
      <c r="K213" s="8" t="s">
        <v>1093</v>
      </c>
      <c r="S213" t="s">
        <v>1329</v>
      </c>
      <c r="T213" s="11" t="s">
        <v>1330</v>
      </c>
      <c r="U213" s="11" t="s">
        <v>745</v>
      </c>
      <c r="V213" s="11" t="s">
        <v>2685</v>
      </c>
      <c r="W213" s="54">
        <f>INDEX([1]ACOMPANHAMENTO!H:H,MATCH(A213,[1]ACOMPANHAMENTO!A:A,0))</f>
        <v>46143</v>
      </c>
      <c r="X213" s="11">
        <f t="shared" ca="1" si="3"/>
        <v>210</v>
      </c>
    </row>
    <row r="214" spans="1:24" x14ac:dyDescent="0.3">
      <c r="A214" s="5">
        <v>252</v>
      </c>
      <c r="B214" s="21">
        <v>133</v>
      </c>
      <c r="C214" s="3" t="s">
        <v>168</v>
      </c>
      <c r="D214" s="4" t="s">
        <v>384</v>
      </c>
      <c r="E214" s="11" t="s">
        <v>2548</v>
      </c>
      <c r="F214" s="18" t="s">
        <v>665</v>
      </c>
      <c r="G214" s="3" t="s">
        <v>167</v>
      </c>
      <c r="H214" s="4" t="s">
        <v>383</v>
      </c>
      <c r="K214" s="8" t="s">
        <v>1093</v>
      </c>
      <c r="S214" t="s">
        <v>1329</v>
      </c>
      <c r="T214" s="11" t="s">
        <v>1330</v>
      </c>
      <c r="U214" s="11" t="s">
        <v>745</v>
      </c>
      <c r="V214" s="11" t="s">
        <v>3466</v>
      </c>
      <c r="W214" s="54">
        <f>INDEX([1]ACOMPANHAMENTO!H:H,MATCH(A214,[1]ACOMPANHAMENTO!A:A,0))</f>
        <v>46143</v>
      </c>
      <c r="X214" s="11">
        <f t="shared" ca="1" si="3"/>
        <v>210</v>
      </c>
    </row>
    <row r="215" spans="1:24" x14ac:dyDescent="0.3">
      <c r="A215" s="5">
        <v>253</v>
      </c>
      <c r="B215" s="21">
        <v>149</v>
      </c>
      <c r="C215" s="3" t="s">
        <v>468</v>
      </c>
      <c r="D215" s="4" t="s">
        <v>467</v>
      </c>
      <c r="E215" s="11" t="s">
        <v>2548</v>
      </c>
      <c r="F215" s="18" t="s">
        <v>666</v>
      </c>
      <c r="G215" s="3" t="s">
        <v>154</v>
      </c>
      <c r="H215" s="4" t="s">
        <v>155</v>
      </c>
      <c r="K215" s="8" t="s">
        <v>1095</v>
      </c>
      <c r="S215" t="s">
        <v>1337</v>
      </c>
      <c r="T215" s="11" t="s">
        <v>1336</v>
      </c>
      <c r="U215" s="11" t="s">
        <v>3655</v>
      </c>
      <c r="V215" s="11" t="s">
        <v>2680</v>
      </c>
      <c r="W215" s="54">
        <f>INDEX([1]ACOMPANHAMENTO!H:H,MATCH(A215,[1]ACOMPANHAMENTO!A:A,0))</f>
        <v>45839</v>
      </c>
      <c r="X215" s="11">
        <f t="shared" ca="1" si="3"/>
        <v>-94</v>
      </c>
    </row>
    <row r="216" spans="1:24" x14ac:dyDescent="0.3">
      <c r="A216" s="5">
        <v>255</v>
      </c>
      <c r="B216" s="21">
        <v>22</v>
      </c>
      <c r="C216" s="3" t="s">
        <v>89</v>
      </c>
      <c r="D216" s="4" t="s">
        <v>347</v>
      </c>
      <c r="E216" s="11" t="s">
        <v>2827</v>
      </c>
      <c r="F216" s="18" t="s">
        <v>721</v>
      </c>
      <c r="G216" s="3" t="s">
        <v>100</v>
      </c>
      <c r="H216" s="4" t="s">
        <v>353</v>
      </c>
      <c r="K216" s="8" t="s">
        <v>1052</v>
      </c>
      <c r="M216" s="35">
        <v>0.04</v>
      </c>
      <c r="S216" t="s">
        <v>1246</v>
      </c>
      <c r="T216" s="11" t="s">
        <v>1233</v>
      </c>
      <c r="U216" s="11" t="s">
        <v>721</v>
      </c>
      <c r="V216" s="11" t="s">
        <v>3432</v>
      </c>
      <c r="W216" s="54">
        <f>INDEX([1]ACOMPANHAMENTO!H:H,MATCH(A216,[1]ACOMPANHAMENTO!A:A,0))</f>
        <v>46113</v>
      </c>
      <c r="X216" s="11">
        <f t="shared" ca="1" si="3"/>
        <v>180</v>
      </c>
    </row>
    <row r="217" spans="1:24" x14ac:dyDescent="0.3">
      <c r="A217" s="5">
        <v>256</v>
      </c>
      <c r="B217" s="21">
        <v>130</v>
      </c>
      <c r="C217" s="3" t="s">
        <v>149</v>
      </c>
      <c r="D217" s="4" t="s">
        <v>176</v>
      </c>
      <c r="E217" s="11" t="s">
        <v>2156</v>
      </c>
      <c r="F217" s="18" t="s">
        <v>668</v>
      </c>
      <c r="G217" s="3" t="s">
        <v>169</v>
      </c>
      <c r="H217" s="4" t="s">
        <v>385</v>
      </c>
      <c r="K217" s="8" t="s">
        <v>1052</v>
      </c>
      <c r="S217" t="s">
        <v>1332</v>
      </c>
      <c r="T217" s="11" t="s">
        <v>1331</v>
      </c>
      <c r="U217" s="11" t="s">
        <v>716</v>
      </c>
      <c r="V217" s="11" t="s">
        <v>3467</v>
      </c>
      <c r="W217" s="54">
        <f>INDEX([1]ACOMPANHAMENTO!H:H,MATCH(A217,[1]ACOMPANHAMENTO!A:A,0))</f>
        <v>45809</v>
      </c>
      <c r="X217" s="11">
        <f t="shared" ca="1" si="3"/>
        <v>-124</v>
      </c>
    </row>
    <row r="218" spans="1:24" x14ac:dyDescent="0.3">
      <c r="A218" s="5">
        <v>257</v>
      </c>
      <c r="B218" s="21">
        <v>80</v>
      </c>
      <c r="C218" s="3" t="s">
        <v>111</v>
      </c>
      <c r="D218" s="4" t="s">
        <v>450</v>
      </c>
      <c r="E218" s="11" t="s">
        <v>2827</v>
      </c>
      <c r="F218" s="18" t="s">
        <v>669</v>
      </c>
      <c r="G218" s="3" t="s">
        <v>109</v>
      </c>
      <c r="H218" s="4" t="s">
        <v>110</v>
      </c>
      <c r="K218" s="8" t="s">
        <v>1055</v>
      </c>
      <c r="S218" t="s">
        <v>1263</v>
      </c>
      <c r="T218" s="11" t="s">
        <v>1264</v>
      </c>
      <c r="U218" s="11" t="s">
        <v>3620</v>
      </c>
      <c r="V218" s="11" t="s">
        <v>3005</v>
      </c>
      <c r="W218" s="54">
        <f>INDEX([1]ACOMPANHAMENTO!H:H,MATCH(A218,[1]ACOMPANHAMENTO!A:A,0))</f>
        <v>45809</v>
      </c>
      <c r="X218" s="11">
        <f t="shared" ca="1" si="3"/>
        <v>-124</v>
      </c>
    </row>
    <row r="219" spans="1:24" x14ac:dyDescent="0.3">
      <c r="A219" s="5">
        <v>258</v>
      </c>
      <c r="B219" s="21">
        <v>78</v>
      </c>
      <c r="C219" s="3" t="s">
        <v>135</v>
      </c>
      <c r="D219" s="4" t="s">
        <v>366</v>
      </c>
      <c r="E219" s="11" t="s">
        <v>2827</v>
      </c>
      <c r="F219" s="18" t="s">
        <v>695</v>
      </c>
      <c r="G219" s="3" t="s">
        <v>177</v>
      </c>
      <c r="H219" s="4" t="s">
        <v>388</v>
      </c>
      <c r="K219" s="8" t="s">
        <v>1065</v>
      </c>
      <c r="M219" s="35">
        <v>0.03</v>
      </c>
      <c r="S219" t="s">
        <v>1495</v>
      </c>
      <c r="T219" s="11" t="s">
        <v>1338</v>
      </c>
      <c r="U219" s="11" t="s">
        <v>3622</v>
      </c>
      <c r="V219" s="11" t="s">
        <v>3147</v>
      </c>
      <c r="W219" s="54">
        <f>INDEX([1]ACOMPANHAMENTO!H:H,MATCH(A219,[1]ACOMPANHAMENTO!A:A,0))</f>
        <v>45962</v>
      </c>
      <c r="X219" s="11">
        <f t="shared" ca="1" si="3"/>
        <v>29</v>
      </c>
    </row>
    <row r="220" spans="1:24" x14ac:dyDescent="0.3">
      <c r="A220" s="5">
        <v>259</v>
      </c>
      <c r="B220" s="21">
        <v>58</v>
      </c>
      <c r="C220" s="3" t="s">
        <v>91</v>
      </c>
      <c r="D220" s="4" t="s">
        <v>349</v>
      </c>
      <c r="E220" s="11" t="s">
        <v>2827</v>
      </c>
      <c r="F220" s="18" t="s">
        <v>670</v>
      </c>
      <c r="G220" s="3" t="s">
        <v>90</v>
      </c>
      <c r="H220" s="4" t="s">
        <v>348</v>
      </c>
      <c r="K220" s="8" t="s">
        <v>1052</v>
      </c>
      <c r="M220" s="35">
        <v>0.02</v>
      </c>
      <c r="S220" t="s">
        <v>1235</v>
      </c>
      <c r="T220" s="11" t="s">
        <v>1234</v>
      </c>
      <c r="U220" s="11" t="s">
        <v>670</v>
      </c>
      <c r="V220" s="11" t="s">
        <v>3427</v>
      </c>
      <c r="W220" s="54">
        <f>INDEX([1]ACOMPANHAMENTO!H:H,MATCH(A220,[1]ACOMPANHAMENTO!A:A,0))</f>
        <v>45717</v>
      </c>
      <c r="X220" s="11">
        <f t="shared" ca="1" si="3"/>
        <v>-216</v>
      </c>
    </row>
    <row r="221" spans="1:24" x14ac:dyDescent="0.3">
      <c r="A221" s="5">
        <v>260</v>
      </c>
      <c r="B221" s="21">
        <v>32</v>
      </c>
      <c r="C221" s="3" t="s">
        <v>52</v>
      </c>
      <c r="D221" s="4" t="s">
        <v>327</v>
      </c>
      <c r="E221" s="11" t="s">
        <v>2827</v>
      </c>
      <c r="F221" s="18" t="s">
        <v>734</v>
      </c>
      <c r="G221" s="3" t="s">
        <v>51</v>
      </c>
      <c r="H221" s="4" t="s">
        <v>134</v>
      </c>
      <c r="K221" s="8" t="s">
        <v>1065</v>
      </c>
      <c r="M221" s="35">
        <v>0.06</v>
      </c>
      <c r="S221" t="s">
        <v>1489</v>
      </c>
      <c r="T221" s="11" t="s">
        <v>1191</v>
      </c>
      <c r="U221" s="11" t="s">
        <v>734</v>
      </c>
      <c r="V221" s="11" t="s">
        <v>3415</v>
      </c>
      <c r="W221" s="54">
        <f>INDEX([1]ACOMPANHAMENTO!H:H,MATCH(A221,[1]ACOMPANHAMENTO!A:A,0))</f>
        <v>45717</v>
      </c>
      <c r="X221" s="11">
        <f t="shared" ca="1" si="3"/>
        <v>-216</v>
      </c>
    </row>
    <row r="222" spans="1:24" x14ac:dyDescent="0.3">
      <c r="A222" s="5">
        <v>261</v>
      </c>
      <c r="B222" s="21">
        <v>37</v>
      </c>
      <c r="C222" s="3" t="s">
        <v>47</v>
      </c>
      <c r="D222" s="4" t="s">
        <v>323</v>
      </c>
      <c r="E222" s="11" t="s">
        <v>2827</v>
      </c>
      <c r="F222" s="18" t="s">
        <v>671</v>
      </c>
      <c r="G222" s="3" t="s">
        <v>448</v>
      </c>
      <c r="H222" s="4" t="s">
        <v>447</v>
      </c>
      <c r="K222" s="8">
        <v>0.1</v>
      </c>
      <c r="M222" s="35">
        <v>0.03</v>
      </c>
      <c r="S222" t="s">
        <v>1184</v>
      </c>
      <c r="T222" s="11" t="s">
        <v>1185</v>
      </c>
      <c r="U222" s="11" t="s">
        <v>3610</v>
      </c>
      <c r="V222" s="11" t="s">
        <v>3413</v>
      </c>
      <c r="W222" s="54">
        <f>INDEX([1]ACOMPANHAMENTO!H:H,MATCH(A222,[1]ACOMPANHAMENTO!A:A,0))</f>
        <v>45383</v>
      </c>
      <c r="X222" s="11">
        <f t="shared" ca="1" si="3"/>
        <v>-550</v>
      </c>
    </row>
    <row r="223" spans="1:24" x14ac:dyDescent="0.3">
      <c r="A223" s="5">
        <v>262</v>
      </c>
      <c r="B223" s="21">
        <v>78</v>
      </c>
      <c r="C223" s="3" t="s">
        <v>135</v>
      </c>
      <c r="D223" s="4" t="s">
        <v>366</v>
      </c>
      <c r="E223" s="11" t="s">
        <v>2827</v>
      </c>
      <c r="F223" s="18" t="s">
        <v>695</v>
      </c>
      <c r="G223" s="3" t="s">
        <v>177</v>
      </c>
      <c r="H223" s="4" t="s">
        <v>388</v>
      </c>
      <c r="K223" s="8" t="s">
        <v>1065</v>
      </c>
      <c r="M223" s="35">
        <v>0.03</v>
      </c>
      <c r="S223" t="s">
        <v>1495</v>
      </c>
      <c r="T223" s="11" t="s">
        <v>1338</v>
      </c>
      <c r="U223" s="11" t="s">
        <v>3622</v>
      </c>
      <c r="V223" s="11" t="s">
        <v>3147</v>
      </c>
      <c r="W223" s="54">
        <f>INDEX([1]ACOMPANHAMENTO!H:H,MATCH(A223,[1]ACOMPANHAMENTO!A:A,0))</f>
        <v>45962</v>
      </c>
      <c r="X223" s="11">
        <f t="shared" ca="1" si="3"/>
        <v>29</v>
      </c>
    </row>
    <row r="224" spans="1:24" x14ac:dyDescent="0.3">
      <c r="A224" s="5">
        <v>263</v>
      </c>
      <c r="B224" s="21">
        <v>78</v>
      </c>
      <c r="C224" s="3" t="s">
        <v>135</v>
      </c>
      <c r="D224" s="4" t="s">
        <v>366</v>
      </c>
      <c r="E224" s="11" t="s">
        <v>2827</v>
      </c>
      <c r="F224" s="18" t="s">
        <v>695</v>
      </c>
      <c r="G224" s="3" t="s">
        <v>177</v>
      </c>
      <c r="H224" s="4" t="s">
        <v>388</v>
      </c>
      <c r="K224" s="8" t="s">
        <v>1065</v>
      </c>
      <c r="M224" s="35">
        <v>0.03</v>
      </c>
      <c r="S224" t="s">
        <v>1495</v>
      </c>
      <c r="T224" s="11" t="s">
        <v>1338</v>
      </c>
      <c r="U224" s="11" t="s">
        <v>3622</v>
      </c>
      <c r="V224" s="11" t="s">
        <v>3147</v>
      </c>
      <c r="W224" s="54">
        <f>INDEX([1]ACOMPANHAMENTO!H:H,MATCH(A224,[1]ACOMPANHAMENTO!A:A,0))</f>
        <v>45962</v>
      </c>
      <c r="X224" s="11">
        <f t="shared" ca="1" si="3"/>
        <v>29</v>
      </c>
    </row>
    <row r="225" spans="1:24" x14ac:dyDescent="0.3">
      <c r="A225" s="5">
        <v>264</v>
      </c>
      <c r="B225" s="21">
        <v>78</v>
      </c>
      <c r="C225" s="3" t="s">
        <v>135</v>
      </c>
      <c r="D225" s="4" t="s">
        <v>366</v>
      </c>
      <c r="E225" s="11" t="s">
        <v>2827</v>
      </c>
      <c r="F225" s="18" t="s">
        <v>695</v>
      </c>
      <c r="G225" s="3" t="s">
        <v>177</v>
      </c>
      <c r="H225" s="4" t="s">
        <v>388</v>
      </c>
      <c r="K225" s="8" t="s">
        <v>1065</v>
      </c>
      <c r="M225" s="35">
        <v>0.03</v>
      </c>
      <c r="S225" t="s">
        <v>1495</v>
      </c>
      <c r="T225" s="11" t="s">
        <v>1338</v>
      </c>
      <c r="U225" s="11" t="s">
        <v>3622</v>
      </c>
      <c r="V225" s="11" t="s">
        <v>3147</v>
      </c>
      <c r="W225" s="54">
        <f>INDEX([1]ACOMPANHAMENTO!H:H,MATCH(A225,[1]ACOMPANHAMENTO!A:A,0))</f>
        <v>45962</v>
      </c>
      <c r="X225" s="11">
        <f t="shared" ca="1" si="3"/>
        <v>29</v>
      </c>
    </row>
    <row r="226" spans="1:24" x14ac:dyDescent="0.3">
      <c r="A226" s="5">
        <v>265</v>
      </c>
      <c r="B226" s="21">
        <v>107</v>
      </c>
      <c r="C226" s="3" t="s">
        <v>131</v>
      </c>
      <c r="D226" s="4" t="s">
        <v>365</v>
      </c>
      <c r="E226" s="11" t="s">
        <v>2827</v>
      </c>
      <c r="F226" s="18" t="s">
        <v>938</v>
      </c>
      <c r="G226" s="5" t="s">
        <v>130</v>
      </c>
      <c r="H226" s="11" t="s">
        <v>364</v>
      </c>
      <c r="K226" s="8"/>
      <c r="S226" t="s">
        <v>1298</v>
      </c>
      <c r="T226" s="11" t="s">
        <v>1297</v>
      </c>
      <c r="U226" s="11" t="s">
        <v>631</v>
      </c>
      <c r="V226" s="11" t="s">
        <v>2852</v>
      </c>
      <c r="W226" s="54">
        <f>INDEX([1]ACOMPANHAMENTO!H:H,MATCH(A226,[1]ACOMPANHAMENTO!A:A,0))</f>
        <v>45505</v>
      </c>
      <c r="X226" s="11">
        <f t="shared" ca="1" si="3"/>
        <v>-428</v>
      </c>
    </row>
    <row r="227" spans="1:24" x14ac:dyDescent="0.3">
      <c r="A227" s="5">
        <v>266</v>
      </c>
      <c r="B227" s="21">
        <v>78</v>
      </c>
      <c r="C227" s="3" t="s">
        <v>135</v>
      </c>
      <c r="D227" s="4" t="s">
        <v>366</v>
      </c>
      <c r="E227" s="11" t="s">
        <v>2827</v>
      </c>
      <c r="F227" s="18" t="s">
        <v>695</v>
      </c>
      <c r="G227" s="3" t="s">
        <v>177</v>
      </c>
      <c r="H227" s="4" t="s">
        <v>388</v>
      </c>
      <c r="K227" s="8" t="s">
        <v>1065</v>
      </c>
      <c r="M227" s="35">
        <v>0.03</v>
      </c>
      <c r="S227" t="s">
        <v>1495</v>
      </c>
      <c r="T227" s="11" t="s">
        <v>1338</v>
      </c>
      <c r="U227" s="11" t="s">
        <v>3622</v>
      </c>
      <c r="V227" s="11" t="s">
        <v>3147</v>
      </c>
      <c r="W227" s="54">
        <f>INDEX([1]ACOMPANHAMENTO!H:H,MATCH(A227,[1]ACOMPANHAMENTO!A:A,0))</f>
        <v>45962</v>
      </c>
      <c r="X227" s="11">
        <f t="shared" ca="1" si="3"/>
        <v>29</v>
      </c>
    </row>
    <row r="228" spans="1:24" x14ac:dyDescent="0.3">
      <c r="A228" s="5">
        <v>267</v>
      </c>
      <c r="B228" s="21">
        <v>103</v>
      </c>
      <c r="C228" s="3" t="s">
        <v>92</v>
      </c>
      <c r="D228" s="4" t="s">
        <v>350</v>
      </c>
      <c r="E228" s="11" t="s">
        <v>2827</v>
      </c>
      <c r="F228" s="18" t="s">
        <v>672</v>
      </c>
      <c r="G228" s="3" t="s">
        <v>100</v>
      </c>
      <c r="H228" s="4" t="s">
        <v>353</v>
      </c>
      <c r="K228" s="8" t="s">
        <v>1055</v>
      </c>
      <c r="M228" s="35">
        <v>0.03</v>
      </c>
      <c r="S228" t="s">
        <v>1293</v>
      </c>
      <c r="T228" s="11" t="s">
        <v>1294</v>
      </c>
      <c r="U228" s="11" t="s">
        <v>746</v>
      </c>
      <c r="V228" s="11" t="s">
        <v>2980</v>
      </c>
      <c r="W228" s="54">
        <f>INDEX([1]ACOMPANHAMENTO!H:H,MATCH(A228,[1]ACOMPANHAMENTO!A:A,0))</f>
        <v>46113</v>
      </c>
      <c r="X228" s="11">
        <f t="shared" ca="1" si="3"/>
        <v>180</v>
      </c>
    </row>
    <row r="229" spans="1:24" x14ac:dyDescent="0.3">
      <c r="A229" s="5">
        <v>268</v>
      </c>
      <c r="B229" s="21">
        <v>133</v>
      </c>
      <c r="C229" s="3" t="s">
        <v>168</v>
      </c>
      <c r="D229" s="4" t="s">
        <v>384</v>
      </c>
      <c r="E229" s="11" t="s">
        <v>2548</v>
      </c>
      <c r="F229" s="18" t="s">
        <v>745</v>
      </c>
      <c r="G229" s="3" t="s">
        <v>167</v>
      </c>
      <c r="H229" s="4" t="s">
        <v>383</v>
      </c>
      <c r="K229" s="8" t="s">
        <v>1093</v>
      </c>
      <c r="S229" t="s">
        <v>1329</v>
      </c>
      <c r="T229" s="11" t="s">
        <v>1330</v>
      </c>
      <c r="U229" s="11" t="s">
        <v>745</v>
      </c>
      <c r="V229" s="11" t="s">
        <v>2685</v>
      </c>
      <c r="W229" s="54">
        <f>INDEX([1]ACOMPANHAMENTO!H:H,MATCH(A229,[1]ACOMPANHAMENTO!A:A,0))</f>
        <v>46143</v>
      </c>
      <c r="X229" s="11">
        <f t="shared" ca="1" si="3"/>
        <v>210</v>
      </c>
    </row>
    <row r="230" spans="1:24" x14ac:dyDescent="0.3">
      <c r="A230" s="5">
        <v>269</v>
      </c>
      <c r="B230" s="21">
        <v>164</v>
      </c>
      <c r="C230" s="3" t="s">
        <v>178</v>
      </c>
      <c r="D230" s="4" t="s">
        <v>389</v>
      </c>
      <c r="E230" s="11" t="s">
        <v>2548</v>
      </c>
      <c r="F230" s="18" t="s">
        <v>673</v>
      </c>
      <c r="G230" s="3" t="s">
        <v>170</v>
      </c>
      <c r="H230" s="4" t="s">
        <v>437</v>
      </c>
      <c r="K230" s="8" t="s">
        <v>1096</v>
      </c>
      <c r="S230" t="s">
        <v>1340</v>
      </c>
      <c r="T230" s="11" t="s">
        <v>1341</v>
      </c>
      <c r="U230" s="11" t="s">
        <v>673</v>
      </c>
      <c r="V230" s="11" t="s">
        <v>2697</v>
      </c>
      <c r="W230" s="54">
        <f>INDEX([1]ACOMPANHAMENTO!H:H,MATCH(A230,[1]ACOMPANHAMENTO!A:A,0))</f>
        <v>45778</v>
      </c>
      <c r="X230" s="11">
        <f t="shared" ca="1" si="3"/>
        <v>-155</v>
      </c>
    </row>
    <row r="231" spans="1:24" x14ac:dyDescent="0.3">
      <c r="A231" s="5">
        <v>270</v>
      </c>
      <c r="B231" s="21">
        <v>163</v>
      </c>
      <c r="C231" s="3" t="s">
        <v>67</v>
      </c>
      <c r="D231" s="4" t="s">
        <v>333</v>
      </c>
      <c r="E231" s="11" t="s">
        <v>2827</v>
      </c>
      <c r="F231" s="18" t="s">
        <v>674</v>
      </c>
      <c r="G231" s="3" t="s">
        <v>179</v>
      </c>
      <c r="H231" s="4" t="s">
        <v>258</v>
      </c>
      <c r="K231" s="8"/>
      <c r="S231" t="s">
        <v>1342</v>
      </c>
      <c r="T231" s="11" t="s">
        <v>1343</v>
      </c>
      <c r="U231" s="11" t="s">
        <v>573</v>
      </c>
      <c r="V231" s="11" t="s">
        <v>3259</v>
      </c>
      <c r="W231" s="54">
        <f>INDEX([1]ACOMPANHAMENTO!H:H,MATCH(A231,[1]ACOMPANHAMENTO!A:A,0))</f>
        <v>45352</v>
      </c>
      <c r="X231" s="11">
        <f t="shared" ca="1" si="3"/>
        <v>-581</v>
      </c>
    </row>
    <row r="232" spans="1:24" x14ac:dyDescent="0.3">
      <c r="A232" s="5">
        <v>271</v>
      </c>
      <c r="B232" s="21">
        <v>39</v>
      </c>
      <c r="C232" s="3" t="s">
        <v>39</v>
      </c>
      <c r="D232" s="4" t="s">
        <v>315</v>
      </c>
      <c r="E232" s="11" t="s">
        <v>2827</v>
      </c>
      <c r="F232" s="18" t="s">
        <v>675</v>
      </c>
      <c r="G232" s="3" t="s">
        <v>38</v>
      </c>
      <c r="H232" s="4" t="s">
        <v>314</v>
      </c>
      <c r="K232" s="8" t="s">
        <v>1061</v>
      </c>
      <c r="M232" s="35">
        <v>0.03</v>
      </c>
      <c r="S232" t="s">
        <v>1176</v>
      </c>
      <c r="T232" s="11" t="s">
        <v>1177</v>
      </c>
      <c r="U232" s="11" t="s">
        <v>675</v>
      </c>
      <c r="V232" s="11" t="s">
        <v>2833</v>
      </c>
      <c r="W232" s="54">
        <f>INDEX([1]ACOMPANHAMENTO!H:H,MATCH(A232,[1]ACOMPANHAMENTO!A:A,0))</f>
        <v>45931</v>
      </c>
      <c r="X232" s="11">
        <f t="shared" ca="1" si="3"/>
        <v>-2</v>
      </c>
    </row>
    <row r="233" spans="1:24" x14ac:dyDescent="0.3">
      <c r="A233" s="5">
        <v>272</v>
      </c>
      <c r="B233" s="21">
        <v>43</v>
      </c>
      <c r="C233" s="3" t="s">
        <v>58</v>
      </c>
      <c r="D233" s="4" t="s">
        <v>59</v>
      </c>
      <c r="E233" s="11" t="s">
        <v>2827</v>
      </c>
      <c r="F233" s="18" t="s">
        <v>676</v>
      </c>
      <c r="G233" s="3" t="s">
        <v>56</v>
      </c>
      <c r="H233" s="4" t="s">
        <v>57</v>
      </c>
      <c r="K233" s="8" t="s">
        <v>1052</v>
      </c>
      <c r="M233" s="35">
        <v>0.03</v>
      </c>
      <c r="S233" t="s">
        <v>1200</v>
      </c>
      <c r="T233" s="11" t="s">
        <v>1201</v>
      </c>
      <c r="U233" s="11" t="s">
        <v>3612</v>
      </c>
      <c r="V233" s="11" t="s">
        <v>2853</v>
      </c>
      <c r="W233" s="54">
        <f>INDEX([1]ACOMPANHAMENTO!H:H,MATCH(A233,[1]ACOMPANHAMENTO!A:A,0))</f>
        <v>45748</v>
      </c>
      <c r="X233" s="11">
        <f t="shared" ca="1" si="3"/>
        <v>-185</v>
      </c>
    </row>
    <row r="234" spans="1:24" x14ac:dyDescent="0.3">
      <c r="A234" s="5">
        <v>273</v>
      </c>
      <c r="B234" s="21">
        <v>165</v>
      </c>
      <c r="C234" s="3" t="s">
        <v>180</v>
      </c>
      <c r="D234" s="4" t="s">
        <v>390</v>
      </c>
      <c r="E234" s="11" t="s">
        <v>2548</v>
      </c>
      <c r="F234" s="18" t="s">
        <v>677</v>
      </c>
      <c r="G234" s="3" t="s">
        <v>181</v>
      </c>
      <c r="H234" s="4" t="s">
        <v>391</v>
      </c>
      <c r="K234" s="8" t="s">
        <v>1097</v>
      </c>
      <c r="S234" t="s">
        <v>1345</v>
      </c>
      <c r="T234" s="11" t="s">
        <v>1344</v>
      </c>
      <c r="U234" s="11" t="s">
        <v>677</v>
      </c>
      <c r="V234" s="11" t="s">
        <v>3468</v>
      </c>
      <c r="W234" s="54">
        <f>INDEX([1]ACOMPANHAMENTO!H:H,MATCH(A234,[1]ACOMPANHAMENTO!A:A,0))</f>
        <v>45870</v>
      </c>
      <c r="X234" s="11">
        <f t="shared" ca="1" si="3"/>
        <v>-63</v>
      </c>
    </row>
    <row r="235" spans="1:24" x14ac:dyDescent="0.3">
      <c r="A235" s="5">
        <v>274</v>
      </c>
      <c r="B235" s="21">
        <v>122</v>
      </c>
      <c r="C235" s="3" t="s">
        <v>149</v>
      </c>
      <c r="D235" s="4" t="s">
        <v>176</v>
      </c>
      <c r="E235" s="11" t="s">
        <v>2156</v>
      </c>
      <c r="F235" s="18" t="s">
        <v>678</v>
      </c>
      <c r="G235" s="3" t="s">
        <v>148</v>
      </c>
      <c r="H235" s="4" t="s">
        <v>375</v>
      </c>
      <c r="K235" s="8" t="s">
        <v>1052</v>
      </c>
      <c r="S235" t="s">
        <v>1319</v>
      </c>
      <c r="T235" s="11" t="s">
        <v>1320</v>
      </c>
      <c r="U235" s="11" t="s">
        <v>716</v>
      </c>
      <c r="V235" s="11" t="s">
        <v>2400</v>
      </c>
      <c r="W235" s="54">
        <f>INDEX([1]ACOMPANHAMENTO!H:H,MATCH(A235,[1]ACOMPANHAMENTO!A:A,0))</f>
        <v>45809</v>
      </c>
      <c r="X235" s="11">
        <f t="shared" ca="1" si="3"/>
        <v>-124</v>
      </c>
    </row>
    <row r="236" spans="1:24" x14ac:dyDescent="0.3">
      <c r="A236" s="5">
        <v>275</v>
      </c>
      <c r="B236" s="21">
        <v>113</v>
      </c>
      <c r="C236" s="3" t="s">
        <v>139</v>
      </c>
      <c r="D236" s="4" t="s">
        <v>140</v>
      </c>
      <c r="E236" s="11" t="s">
        <v>2548</v>
      </c>
      <c r="F236" s="18" t="s">
        <v>679</v>
      </c>
      <c r="G236" s="3" t="s">
        <v>138</v>
      </c>
      <c r="H236" s="4" t="s">
        <v>369</v>
      </c>
      <c r="K236" s="8" t="s">
        <v>1085</v>
      </c>
      <c r="S236" t="s">
        <v>1306</v>
      </c>
      <c r="T236" s="11" t="s">
        <v>1305</v>
      </c>
      <c r="U236" t="s">
        <v>3623</v>
      </c>
      <c r="V236" t="s">
        <v>3469</v>
      </c>
      <c r="W236" s="54">
        <f>INDEX([1]ACOMPANHAMENTO!H:H,MATCH(A236,[1]ACOMPANHAMENTO!A:A,0))</f>
        <v>45778</v>
      </c>
      <c r="X236" s="11">
        <f t="shared" ca="1" si="3"/>
        <v>-155</v>
      </c>
    </row>
    <row r="237" spans="1:24" x14ac:dyDescent="0.3">
      <c r="A237" s="5">
        <v>276</v>
      </c>
      <c r="B237" s="21">
        <v>167</v>
      </c>
      <c r="C237" s="3" t="s">
        <v>183</v>
      </c>
      <c r="D237" s="4" t="s">
        <v>260</v>
      </c>
      <c r="E237" s="11" t="s">
        <v>2548</v>
      </c>
      <c r="F237" s="18" t="s">
        <v>680</v>
      </c>
      <c r="G237" s="3" t="s">
        <v>182</v>
      </c>
      <c r="H237" s="4" t="s">
        <v>259</v>
      </c>
      <c r="K237" s="8" t="s">
        <v>1085</v>
      </c>
      <c r="S237" t="s">
        <v>1346</v>
      </c>
      <c r="T237" s="11" t="s">
        <v>1347</v>
      </c>
      <c r="U237" t="s">
        <v>3630</v>
      </c>
      <c r="V237" t="s">
        <v>3470</v>
      </c>
      <c r="W237" s="54">
        <f>INDEX([1]ACOMPANHAMENTO!H:H,MATCH(A237,[1]ACOMPANHAMENTO!A:A,0))</f>
        <v>45778</v>
      </c>
      <c r="X237" s="11">
        <f t="shared" ca="1" si="3"/>
        <v>-155</v>
      </c>
    </row>
    <row r="238" spans="1:24" x14ac:dyDescent="0.3">
      <c r="A238" s="5">
        <v>277</v>
      </c>
      <c r="B238" s="21">
        <v>23</v>
      </c>
      <c r="C238" s="3" t="s">
        <v>84</v>
      </c>
      <c r="D238" s="4" t="s">
        <v>344</v>
      </c>
      <c r="E238" s="11" t="s">
        <v>2827</v>
      </c>
      <c r="F238" s="18" t="s">
        <v>794</v>
      </c>
      <c r="G238" s="3" t="s">
        <v>85</v>
      </c>
      <c r="H238" s="4" t="s">
        <v>345</v>
      </c>
      <c r="K238" s="8" t="s">
        <v>1074</v>
      </c>
      <c r="L238" s="32">
        <v>0.03</v>
      </c>
      <c r="S238" t="s">
        <v>1224</v>
      </c>
      <c r="T238" s="11" t="s">
        <v>1225</v>
      </c>
      <c r="U238" s="11" t="s">
        <v>794</v>
      </c>
      <c r="V238" s="11" t="s">
        <v>3081</v>
      </c>
      <c r="W238" s="54">
        <f>INDEX([1]ACOMPANHAMENTO!H:H,MATCH(A238,[1]ACOMPANHAMENTO!A:A,0))</f>
        <v>46082</v>
      </c>
      <c r="X238" s="11">
        <f t="shared" ca="1" si="3"/>
        <v>149</v>
      </c>
    </row>
    <row r="239" spans="1:24" x14ac:dyDescent="0.3">
      <c r="A239" s="5">
        <v>278</v>
      </c>
      <c r="B239" s="21">
        <v>55</v>
      </c>
      <c r="C239" s="3" t="s">
        <v>88</v>
      </c>
      <c r="D239" s="4" t="s">
        <v>104</v>
      </c>
      <c r="E239" s="11" t="s">
        <v>2827</v>
      </c>
      <c r="F239" s="18" t="s">
        <v>681</v>
      </c>
      <c r="G239" s="3" t="s">
        <v>87</v>
      </c>
      <c r="H239" s="4" t="s">
        <v>449</v>
      </c>
      <c r="K239" s="8" t="s">
        <v>1075</v>
      </c>
      <c r="M239" s="35" t="s">
        <v>1122</v>
      </c>
      <c r="S239" t="s">
        <v>1229</v>
      </c>
      <c r="T239" s="11" t="s">
        <v>1228</v>
      </c>
      <c r="U239" s="11" t="s">
        <v>617</v>
      </c>
      <c r="V239" s="11" t="s">
        <v>2915</v>
      </c>
      <c r="W239" s="54">
        <f>INDEX([1]ACOMPANHAMENTO!H:H,MATCH(A239,[1]ACOMPANHAMENTO!A:A,0))</f>
        <v>45717</v>
      </c>
      <c r="X239" s="11">
        <f t="shared" ca="1" si="3"/>
        <v>-216</v>
      </c>
    </row>
    <row r="240" spans="1:24" x14ac:dyDescent="0.3">
      <c r="A240" s="5">
        <v>280</v>
      </c>
      <c r="B240" s="21">
        <v>54</v>
      </c>
      <c r="C240" s="3" t="s">
        <v>18</v>
      </c>
      <c r="D240" s="4" t="s">
        <v>302</v>
      </c>
      <c r="E240" s="11" t="s">
        <v>2827</v>
      </c>
      <c r="F240" s="18" t="s">
        <v>682</v>
      </c>
      <c r="G240" s="3" t="s">
        <v>19</v>
      </c>
      <c r="H240" s="4" t="s">
        <v>303</v>
      </c>
      <c r="K240" s="8" t="s">
        <v>1052</v>
      </c>
      <c r="M240" s="35">
        <v>0.02</v>
      </c>
      <c r="S240" t="s">
        <v>1154</v>
      </c>
      <c r="T240" s="11" t="s">
        <v>1155</v>
      </c>
      <c r="U240" s="11" t="s">
        <v>559</v>
      </c>
      <c r="V240" s="11" t="s">
        <v>2897</v>
      </c>
      <c r="W240" s="54">
        <f>INDEX([1]ACOMPANHAMENTO!H:H,MATCH(A240,[1]ACOMPANHAMENTO!A:A,0))</f>
        <v>45717</v>
      </c>
      <c r="X240" s="11">
        <f t="shared" ca="1" si="3"/>
        <v>-216</v>
      </c>
    </row>
    <row r="241" spans="1:24" x14ac:dyDescent="0.3">
      <c r="A241" s="5">
        <v>281</v>
      </c>
      <c r="B241" s="21">
        <v>42</v>
      </c>
      <c r="C241" s="3" t="s">
        <v>43</v>
      </c>
      <c r="D241" s="4" t="s">
        <v>319</v>
      </c>
      <c r="E241" s="11" t="s">
        <v>2548</v>
      </c>
      <c r="F241" s="18" t="s">
        <v>683</v>
      </c>
      <c r="G241" s="3" t="s">
        <v>42</v>
      </c>
      <c r="H241" s="4" t="s">
        <v>318</v>
      </c>
      <c r="K241" s="8" t="s">
        <v>1062</v>
      </c>
      <c r="S241" t="s">
        <v>1180</v>
      </c>
      <c r="T241" s="11" t="s">
        <v>1181</v>
      </c>
      <c r="U241" s="11" t="s">
        <v>683</v>
      </c>
      <c r="V241" s="11" t="s">
        <v>3412</v>
      </c>
      <c r="W241" s="54">
        <f>INDEX([1]ACOMPANHAMENTO!H:H,MATCH(A241,[1]ACOMPANHAMENTO!A:A,0))</f>
        <v>45901</v>
      </c>
      <c r="X241" s="11">
        <f t="shared" ca="1" si="3"/>
        <v>-32</v>
      </c>
    </row>
    <row r="242" spans="1:24" x14ac:dyDescent="0.3">
      <c r="A242" s="5">
        <v>282</v>
      </c>
      <c r="B242" s="21">
        <v>172</v>
      </c>
      <c r="C242" s="3" t="s">
        <v>185</v>
      </c>
      <c r="D242" s="4" t="s">
        <v>261</v>
      </c>
      <c r="E242" s="11" t="s">
        <v>2548</v>
      </c>
      <c r="F242" s="18" t="s">
        <v>684</v>
      </c>
      <c r="G242" s="3" t="s">
        <v>184</v>
      </c>
      <c r="H242" s="4" t="s">
        <v>392</v>
      </c>
      <c r="K242" s="8" t="s">
        <v>1098</v>
      </c>
      <c r="S242" t="s">
        <v>1348</v>
      </c>
      <c r="T242" s="11" t="s">
        <v>1349</v>
      </c>
      <c r="U242" s="11" t="s">
        <v>3591</v>
      </c>
      <c r="V242" s="11" t="s">
        <v>2660</v>
      </c>
      <c r="W242" s="54">
        <f>INDEX([1]ACOMPANHAMENTO!H:H,MATCH(A242,[1]ACOMPANHAMENTO!A:A,0))</f>
        <v>45870</v>
      </c>
      <c r="X242" s="11">
        <f t="shared" ca="1" si="3"/>
        <v>-63</v>
      </c>
    </row>
    <row r="243" spans="1:24" x14ac:dyDescent="0.3">
      <c r="A243" s="5">
        <v>283</v>
      </c>
      <c r="B243" s="21">
        <v>171</v>
      </c>
      <c r="C243" s="3" t="s">
        <v>187</v>
      </c>
      <c r="D243" s="4" t="s">
        <v>263</v>
      </c>
      <c r="E243" s="11" t="s">
        <v>2548</v>
      </c>
      <c r="F243" s="18" t="s">
        <v>685</v>
      </c>
      <c r="G243" s="3" t="s">
        <v>186</v>
      </c>
      <c r="H243" s="4" t="s">
        <v>262</v>
      </c>
      <c r="K243" s="8" t="s">
        <v>1085</v>
      </c>
      <c r="M243" s="35">
        <v>0.5</v>
      </c>
      <c r="S243" t="s">
        <v>1350</v>
      </c>
      <c r="T243" s="11" t="s">
        <v>1272</v>
      </c>
      <c r="U243" s="11" t="s">
        <v>685</v>
      </c>
      <c r="V243" s="11" t="s">
        <v>2624</v>
      </c>
      <c r="W243" s="54">
        <f>INDEX([1]ACOMPANHAMENTO!H:H,MATCH(A243,[1]ACOMPANHAMENTO!A:A,0))</f>
        <v>45870</v>
      </c>
      <c r="X243" s="11">
        <f t="shared" ca="1" si="3"/>
        <v>-63</v>
      </c>
    </row>
    <row r="244" spans="1:24" x14ac:dyDescent="0.3">
      <c r="A244" s="5">
        <v>284</v>
      </c>
      <c r="B244" s="21">
        <v>102</v>
      </c>
      <c r="C244" s="3" t="s">
        <v>129</v>
      </c>
      <c r="D244" s="4" t="s">
        <v>363</v>
      </c>
      <c r="E244" s="11" t="s">
        <v>2827</v>
      </c>
      <c r="F244" s="18" t="s">
        <v>941</v>
      </c>
      <c r="G244" s="3" t="s">
        <v>128</v>
      </c>
      <c r="H244" s="4" t="s">
        <v>362</v>
      </c>
      <c r="K244" s="8" t="s">
        <v>1055</v>
      </c>
      <c r="Q244" s="11" t="s">
        <v>1084</v>
      </c>
      <c r="S244" t="s">
        <v>1291</v>
      </c>
      <c r="T244" s="11" t="s">
        <v>1292</v>
      </c>
      <c r="U244" s="11" t="s">
        <v>941</v>
      </c>
      <c r="V244" s="11" t="s">
        <v>2920</v>
      </c>
      <c r="W244" s="54">
        <f>INDEX([1]ACOMPANHAMENTO!H:H,MATCH(A244,[1]ACOMPANHAMENTO!A:A,0))</f>
        <v>46204</v>
      </c>
      <c r="X244" s="11">
        <f t="shared" ca="1" si="3"/>
        <v>271</v>
      </c>
    </row>
    <row r="245" spans="1:24" x14ac:dyDescent="0.3">
      <c r="A245" s="5">
        <v>285</v>
      </c>
      <c r="B245" s="21">
        <v>173</v>
      </c>
      <c r="C245" s="3" t="s">
        <v>95</v>
      </c>
      <c r="D245" s="4" t="s">
        <v>351</v>
      </c>
      <c r="E245" s="11" t="s">
        <v>2827</v>
      </c>
      <c r="F245" s="18" t="s">
        <v>686</v>
      </c>
      <c r="G245" s="3" t="s">
        <v>90</v>
      </c>
      <c r="H245" s="4" t="s">
        <v>348</v>
      </c>
      <c r="K245" s="8" t="s">
        <v>1099</v>
      </c>
      <c r="M245" s="35">
        <v>0.02</v>
      </c>
      <c r="S245" t="s">
        <v>1351</v>
      </c>
      <c r="T245" s="11" t="s">
        <v>1352</v>
      </c>
      <c r="U245" s="11" t="s">
        <v>852</v>
      </c>
      <c r="V245" s="11" t="s">
        <v>3116</v>
      </c>
      <c r="W245" s="54">
        <f>INDEX([1]ACOMPANHAMENTO!H:H,MATCH(A245,[1]ACOMPANHAMENTO!A:A,0))</f>
        <v>45717</v>
      </c>
      <c r="X245" s="11">
        <f t="shared" ca="1" si="3"/>
        <v>-216</v>
      </c>
    </row>
    <row r="246" spans="1:24" x14ac:dyDescent="0.3">
      <c r="A246" s="5">
        <v>286</v>
      </c>
      <c r="B246" s="21">
        <v>5</v>
      </c>
      <c r="C246" s="3" t="s">
        <v>26</v>
      </c>
      <c r="D246" s="4" t="s">
        <v>306</v>
      </c>
      <c r="E246" s="11" t="s">
        <v>2827</v>
      </c>
      <c r="F246" s="18" t="s">
        <v>698</v>
      </c>
      <c r="G246" s="3" t="s">
        <v>25</v>
      </c>
      <c r="H246" s="4" t="s">
        <v>431</v>
      </c>
      <c r="K246" s="8" t="s">
        <v>1052</v>
      </c>
      <c r="Q246" s="11" t="s">
        <v>1072</v>
      </c>
      <c r="S246" t="s">
        <v>1219</v>
      </c>
      <c r="T246" s="11" t="s">
        <v>1218</v>
      </c>
      <c r="U246" s="11" t="s">
        <v>698</v>
      </c>
      <c r="V246" s="11" t="s">
        <v>2913</v>
      </c>
      <c r="W246" s="54">
        <f>INDEX([1]ACOMPANHAMENTO!H:H,MATCH(A246,[1]ACOMPANHAMENTO!A:A,0))</f>
        <v>45778</v>
      </c>
      <c r="X246" s="11">
        <f t="shared" ca="1" si="3"/>
        <v>-155</v>
      </c>
    </row>
    <row r="247" spans="1:24" x14ac:dyDescent="0.3">
      <c r="A247" s="5">
        <v>287</v>
      </c>
      <c r="B247" s="21">
        <v>36</v>
      </c>
      <c r="C247" s="3" t="s">
        <v>6</v>
      </c>
      <c r="D247" s="4" t="s">
        <v>469</v>
      </c>
      <c r="E247" s="11" t="s">
        <v>2827</v>
      </c>
      <c r="F247" s="18" t="s">
        <v>687</v>
      </c>
      <c r="G247" s="3" t="s">
        <v>46</v>
      </c>
      <c r="H247" s="4" t="s">
        <v>322</v>
      </c>
      <c r="K247" s="8" t="s">
        <v>1052</v>
      </c>
      <c r="M247" s="35">
        <v>0.03</v>
      </c>
      <c r="S247" t="s">
        <v>1186</v>
      </c>
      <c r="T247" s="11" t="s">
        <v>1172</v>
      </c>
      <c r="U247" s="11" t="s">
        <v>3610</v>
      </c>
      <c r="V247" s="11" t="s">
        <v>3414</v>
      </c>
      <c r="W247" s="54">
        <f>INDEX([1]ACOMPANHAMENTO!H:H,MATCH(A247,[1]ACOMPANHAMENTO!A:A,0))</f>
        <v>45352</v>
      </c>
      <c r="X247" s="11">
        <f t="shared" ca="1" si="3"/>
        <v>-581</v>
      </c>
    </row>
    <row r="248" spans="1:24" x14ac:dyDescent="0.3">
      <c r="A248" s="5">
        <v>288</v>
      </c>
      <c r="B248" s="21">
        <v>1</v>
      </c>
      <c r="C248" s="3" t="s">
        <v>2</v>
      </c>
      <c r="D248" s="4" t="s">
        <v>20</v>
      </c>
      <c r="E248" s="11" t="s">
        <v>2827</v>
      </c>
      <c r="F248" s="18" t="s">
        <v>704</v>
      </c>
      <c r="G248" s="3" t="s">
        <v>1</v>
      </c>
      <c r="H248" s="4" t="s">
        <v>257</v>
      </c>
      <c r="K248" s="8" t="s">
        <v>1052</v>
      </c>
      <c r="M248" s="35">
        <v>0.02</v>
      </c>
      <c r="N248" s="32">
        <v>0.05</v>
      </c>
      <c r="O248" s="32">
        <v>0.1</v>
      </c>
      <c r="P248" s="32">
        <v>0.15</v>
      </c>
      <c r="S248" t="s">
        <v>1138</v>
      </c>
      <c r="T248" s="11" t="s">
        <v>1135</v>
      </c>
      <c r="U248" s="11" t="s">
        <v>704</v>
      </c>
      <c r="V248" s="11" t="s">
        <v>3191</v>
      </c>
      <c r="W248" s="54">
        <f>INDEX([1]ACOMPANHAMENTO!H:H,MATCH(A248,[1]ACOMPANHAMENTO!A:A,0))</f>
        <v>45809</v>
      </c>
      <c r="X248" s="11">
        <f t="shared" ca="1" si="3"/>
        <v>-124</v>
      </c>
    </row>
    <row r="249" spans="1:24" x14ac:dyDescent="0.3">
      <c r="A249" s="5">
        <v>289</v>
      </c>
      <c r="B249" s="21">
        <v>174</v>
      </c>
      <c r="C249" s="3" t="s">
        <v>129</v>
      </c>
      <c r="D249" s="4" t="s">
        <v>363</v>
      </c>
      <c r="E249" s="11" t="s">
        <v>2827</v>
      </c>
      <c r="F249" s="18" t="s">
        <v>688</v>
      </c>
      <c r="G249" s="3" t="s">
        <v>82</v>
      </c>
      <c r="H249" s="4" t="s">
        <v>342</v>
      </c>
      <c r="K249" s="8" t="s">
        <v>1071</v>
      </c>
      <c r="S249" t="s">
        <v>1353</v>
      </c>
      <c r="T249" s="11" t="s">
        <v>1367</v>
      </c>
      <c r="U249" s="11" t="s">
        <v>941</v>
      </c>
      <c r="V249" s="11" t="s">
        <v>3471</v>
      </c>
      <c r="W249" s="54">
        <f>INDEX([1]ACOMPANHAMENTO!H:H,MATCH(A249,[1]ACOMPANHAMENTO!A:A,0))</f>
        <v>46204</v>
      </c>
      <c r="X249" s="11">
        <f t="shared" ca="1" si="3"/>
        <v>271</v>
      </c>
    </row>
    <row r="250" spans="1:24" x14ac:dyDescent="0.3">
      <c r="A250" s="5">
        <v>290</v>
      </c>
      <c r="B250" s="21">
        <v>133</v>
      </c>
      <c r="C250" s="3" t="s">
        <v>168</v>
      </c>
      <c r="D250" s="4" t="s">
        <v>384</v>
      </c>
      <c r="E250" s="11" t="s">
        <v>2548</v>
      </c>
      <c r="F250" s="18" t="s">
        <v>689</v>
      </c>
      <c r="G250" s="3" t="s">
        <v>167</v>
      </c>
      <c r="H250" s="4" t="s">
        <v>383</v>
      </c>
      <c r="K250" s="8" t="s">
        <v>1093</v>
      </c>
      <c r="S250" t="s">
        <v>1329</v>
      </c>
      <c r="T250" s="11" t="s">
        <v>1330</v>
      </c>
      <c r="U250" s="11" t="s">
        <v>745</v>
      </c>
      <c r="V250" s="11" t="s">
        <v>2620</v>
      </c>
      <c r="W250" s="54">
        <f>INDEX([1]ACOMPANHAMENTO!H:H,MATCH(A250,[1]ACOMPANHAMENTO!A:A,0))</f>
        <v>46143</v>
      </c>
      <c r="X250" s="11">
        <f t="shared" ca="1" si="3"/>
        <v>210</v>
      </c>
    </row>
    <row r="251" spans="1:24" x14ac:dyDescent="0.3">
      <c r="A251" s="5">
        <v>291</v>
      </c>
      <c r="B251" s="21">
        <v>145</v>
      </c>
      <c r="C251" s="3" t="s">
        <v>74</v>
      </c>
      <c r="D251" s="4" t="s">
        <v>338</v>
      </c>
      <c r="E251" s="11" t="s">
        <v>2827</v>
      </c>
      <c r="F251" s="18" t="s">
        <v>943</v>
      </c>
      <c r="G251" s="3" t="s">
        <v>68</v>
      </c>
      <c r="H251" s="4" t="s">
        <v>69</v>
      </c>
      <c r="K251" s="8" t="s">
        <v>1052</v>
      </c>
      <c r="M251" s="35">
        <v>0.03</v>
      </c>
      <c r="S251" t="s">
        <v>1212</v>
      </c>
      <c r="T251" s="11" t="s">
        <v>1213</v>
      </c>
      <c r="U251" s="11" t="s">
        <v>943</v>
      </c>
      <c r="V251" s="11" t="s">
        <v>3133</v>
      </c>
      <c r="W251" s="54">
        <f>INDEX([1]ACOMPANHAMENTO!H:H,MATCH(A251,[1]ACOMPANHAMENTO!A:A,0))</f>
        <v>45901</v>
      </c>
      <c r="X251" s="11">
        <f t="shared" ca="1" si="3"/>
        <v>-32</v>
      </c>
    </row>
    <row r="252" spans="1:24" x14ac:dyDescent="0.3">
      <c r="A252" s="5">
        <v>292</v>
      </c>
      <c r="B252" s="21">
        <v>175</v>
      </c>
      <c r="C252" s="3" t="s">
        <v>105</v>
      </c>
      <c r="D252" s="4" t="s">
        <v>356</v>
      </c>
      <c r="E252" s="11" t="s">
        <v>2827</v>
      </c>
      <c r="F252" s="18" t="s">
        <v>690</v>
      </c>
      <c r="G252" s="3" t="s">
        <v>3</v>
      </c>
      <c r="H252" s="4" t="s">
        <v>7</v>
      </c>
      <c r="K252" s="8" t="s">
        <v>1100</v>
      </c>
      <c r="M252" s="35">
        <v>0.02</v>
      </c>
      <c r="S252" t="s">
        <v>1355</v>
      </c>
      <c r="T252" s="11" t="s">
        <v>1354</v>
      </c>
      <c r="U252" s="11" t="s">
        <v>694</v>
      </c>
      <c r="V252" s="11" t="s">
        <v>2992</v>
      </c>
      <c r="W252" s="54">
        <f>INDEX([1]ACOMPANHAMENTO!H:H,MATCH(A252,[1]ACOMPANHAMENTO!A:A,0))</f>
        <v>45717</v>
      </c>
      <c r="X252" s="11">
        <f t="shared" ca="1" si="3"/>
        <v>-216</v>
      </c>
    </row>
    <row r="253" spans="1:24" x14ac:dyDescent="0.3">
      <c r="A253" s="5">
        <v>293</v>
      </c>
      <c r="B253" s="21">
        <v>176</v>
      </c>
      <c r="C253" s="3" t="s">
        <v>102</v>
      </c>
      <c r="D253" s="4" t="s">
        <v>355</v>
      </c>
      <c r="E253" s="11" t="s">
        <v>2827</v>
      </c>
      <c r="F253" s="18" t="s">
        <v>691</v>
      </c>
      <c r="G253" s="3" t="s">
        <v>3</v>
      </c>
      <c r="H253" s="4" t="s">
        <v>7</v>
      </c>
      <c r="K253" s="8" t="s">
        <v>1052</v>
      </c>
      <c r="M253" s="35">
        <v>0.05</v>
      </c>
      <c r="S253" t="s">
        <v>1356</v>
      </c>
      <c r="T253" s="11" t="s">
        <v>1357</v>
      </c>
      <c r="U253" s="11" t="s">
        <v>601</v>
      </c>
      <c r="V253" s="11" t="s">
        <v>2957</v>
      </c>
      <c r="W253" s="54">
        <f>INDEX([1]ACOMPANHAMENTO!H:H,MATCH(A253,[1]ACOMPANHAMENTO!A:A,0))</f>
        <v>45778</v>
      </c>
      <c r="X253" s="11">
        <f t="shared" ca="1" si="3"/>
        <v>-155</v>
      </c>
    </row>
    <row r="254" spans="1:24" x14ac:dyDescent="0.3">
      <c r="A254" s="5">
        <v>294</v>
      </c>
      <c r="B254" s="21">
        <v>167</v>
      </c>
      <c r="C254" s="3" t="s">
        <v>183</v>
      </c>
      <c r="D254" s="4" t="s">
        <v>260</v>
      </c>
      <c r="E254" s="11" t="s">
        <v>2548</v>
      </c>
      <c r="F254" s="18" t="s">
        <v>692</v>
      </c>
      <c r="G254" s="3" t="s">
        <v>182</v>
      </c>
      <c r="H254" s="4" t="s">
        <v>259</v>
      </c>
      <c r="K254" s="8" t="s">
        <v>1085</v>
      </c>
      <c r="S254" t="s">
        <v>1346</v>
      </c>
      <c r="T254" s="11" t="s">
        <v>1347</v>
      </c>
      <c r="U254" s="11" t="s">
        <v>3630</v>
      </c>
      <c r="V254" s="11" t="s">
        <v>2675</v>
      </c>
      <c r="W254" s="54">
        <f>INDEX([1]ACOMPANHAMENTO!H:H,MATCH(A254,[1]ACOMPANHAMENTO!A:A,0))</f>
        <v>45778</v>
      </c>
      <c r="X254" s="11">
        <f t="shared" ca="1" si="3"/>
        <v>-155</v>
      </c>
    </row>
    <row r="255" spans="1:24" x14ac:dyDescent="0.3">
      <c r="A255" s="5">
        <v>295</v>
      </c>
      <c r="B255" s="21">
        <v>82</v>
      </c>
      <c r="C255" s="3" t="s">
        <v>115</v>
      </c>
      <c r="D255" s="4" t="s">
        <v>116</v>
      </c>
      <c r="E255" s="11" t="s">
        <v>2827</v>
      </c>
      <c r="F255" s="18" t="s">
        <v>768</v>
      </c>
      <c r="G255" s="3" t="s">
        <v>113</v>
      </c>
      <c r="H255" s="4" t="s">
        <v>114</v>
      </c>
      <c r="K255" s="8" t="s">
        <v>1067</v>
      </c>
      <c r="S255" t="s">
        <v>1266</v>
      </c>
      <c r="T255" s="11" t="s">
        <v>1267</v>
      </c>
      <c r="U255" s="11" t="s">
        <v>768</v>
      </c>
      <c r="V255" s="11" t="s">
        <v>3185</v>
      </c>
      <c r="W255" s="54">
        <f>INDEX([1]ACOMPANHAMENTO!H:H,MATCH(A255,[1]ACOMPANHAMENTO!A:A,0))</f>
        <v>45962</v>
      </c>
      <c r="X255" s="11">
        <f t="shared" ca="1" si="3"/>
        <v>29</v>
      </c>
    </row>
    <row r="256" spans="1:24" x14ac:dyDescent="0.3">
      <c r="A256" s="5">
        <v>296</v>
      </c>
      <c r="B256" s="21">
        <v>43</v>
      </c>
      <c r="C256" s="3" t="s">
        <v>58</v>
      </c>
      <c r="D256" s="4" t="s">
        <v>59</v>
      </c>
      <c r="E256" s="11" t="s">
        <v>2827</v>
      </c>
      <c r="F256" s="18" t="s">
        <v>715</v>
      </c>
      <c r="G256" s="3" t="s">
        <v>56</v>
      </c>
      <c r="H256" s="4" t="s">
        <v>57</v>
      </c>
      <c r="K256" s="8" t="s">
        <v>1052</v>
      </c>
      <c r="M256" s="35">
        <v>0.03</v>
      </c>
      <c r="S256" t="s">
        <v>1200</v>
      </c>
      <c r="T256" s="11" t="s">
        <v>1201</v>
      </c>
      <c r="U256" s="11" t="s">
        <v>3612</v>
      </c>
      <c r="V256" s="11" t="s">
        <v>3127</v>
      </c>
      <c r="W256" s="54">
        <f>INDEX([1]ACOMPANHAMENTO!H:H,MATCH(A256,[1]ACOMPANHAMENTO!A:A,0))</f>
        <v>45748</v>
      </c>
      <c r="X256" s="11">
        <f t="shared" ca="1" si="3"/>
        <v>-185</v>
      </c>
    </row>
    <row r="257" spans="1:24" x14ac:dyDescent="0.3">
      <c r="A257" s="5">
        <v>297</v>
      </c>
      <c r="B257" s="21">
        <v>34</v>
      </c>
      <c r="C257" s="3" t="s">
        <v>50</v>
      </c>
      <c r="D257" s="4" t="s">
        <v>326</v>
      </c>
      <c r="E257" s="11" t="s">
        <v>2827</v>
      </c>
      <c r="F257" s="18" t="s">
        <v>693</v>
      </c>
      <c r="G257" s="3" t="s">
        <v>49</v>
      </c>
      <c r="H257" s="4" t="s">
        <v>325</v>
      </c>
      <c r="K257" s="8" t="s">
        <v>1064</v>
      </c>
      <c r="L257" s="32">
        <v>0.01</v>
      </c>
      <c r="S257" t="s">
        <v>1189</v>
      </c>
      <c r="T257" s="11" t="s">
        <v>1190</v>
      </c>
      <c r="U257" s="11" t="s">
        <v>693</v>
      </c>
      <c r="V257" s="11" t="s">
        <v>2970</v>
      </c>
      <c r="W257" s="54">
        <f>INDEX([1]ACOMPANHAMENTO!H:H,MATCH(A257,[1]ACOMPANHAMENTO!A:A,0))</f>
        <v>45809</v>
      </c>
      <c r="X257" s="11">
        <f t="shared" ca="1" si="3"/>
        <v>-124</v>
      </c>
    </row>
    <row r="258" spans="1:24" x14ac:dyDescent="0.3">
      <c r="A258" s="5">
        <v>298</v>
      </c>
      <c r="B258" s="21">
        <v>77</v>
      </c>
      <c r="C258" s="3" t="s">
        <v>105</v>
      </c>
      <c r="D258" s="4" t="s">
        <v>356</v>
      </c>
      <c r="E258" s="11" t="s">
        <v>2827</v>
      </c>
      <c r="F258" s="18" t="s">
        <v>694</v>
      </c>
      <c r="G258" s="3" t="s">
        <v>106</v>
      </c>
      <c r="H258" s="4" t="s">
        <v>117</v>
      </c>
      <c r="K258" s="8" t="s">
        <v>1067</v>
      </c>
      <c r="M258" s="35">
        <v>2.5000000000000001E-2</v>
      </c>
      <c r="S258" t="s">
        <v>1254</v>
      </c>
      <c r="T258" s="11" t="s">
        <v>1255</v>
      </c>
      <c r="U258" s="11" t="s">
        <v>694</v>
      </c>
      <c r="V258" s="11" t="s">
        <v>3054</v>
      </c>
      <c r="W258" s="54">
        <f>INDEX([1]ACOMPANHAMENTO!H:H,MATCH(A258,[1]ACOMPANHAMENTO!A:A,0))</f>
        <v>45717</v>
      </c>
      <c r="X258" s="11">
        <f t="shared" ca="1" si="3"/>
        <v>-216</v>
      </c>
    </row>
    <row r="259" spans="1:24" x14ac:dyDescent="0.3">
      <c r="A259" s="5">
        <v>299</v>
      </c>
      <c r="B259" s="21">
        <v>78</v>
      </c>
      <c r="C259" s="3" t="s">
        <v>135</v>
      </c>
      <c r="D259" s="4" t="s">
        <v>366</v>
      </c>
      <c r="E259" s="11" t="s">
        <v>2827</v>
      </c>
      <c r="F259" s="18" t="s">
        <v>695</v>
      </c>
      <c r="G259" s="3" t="s">
        <v>177</v>
      </c>
      <c r="H259" s="4" t="s">
        <v>388</v>
      </c>
      <c r="K259" s="8" t="s">
        <v>1051</v>
      </c>
      <c r="S259" t="s">
        <v>1495</v>
      </c>
      <c r="T259" s="11" t="s">
        <v>1338</v>
      </c>
      <c r="U259" s="11" t="s">
        <v>3622</v>
      </c>
      <c r="V259" s="11" t="s">
        <v>3147</v>
      </c>
      <c r="W259" s="54">
        <f>INDEX([1]ACOMPANHAMENTO!H:H,MATCH(A259,[1]ACOMPANHAMENTO!A:A,0))</f>
        <v>45962</v>
      </c>
      <c r="X259" s="11">
        <f t="shared" ref="X259:X322" ca="1" si="4">W259-TODAY()</f>
        <v>29</v>
      </c>
    </row>
    <row r="260" spans="1:24" x14ac:dyDescent="0.3">
      <c r="A260" s="5">
        <v>300</v>
      </c>
      <c r="B260" s="21">
        <v>138</v>
      </c>
      <c r="C260" s="3" t="s">
        <v>75</v>
      </c>
      <c r="D260" s="4" t="s">
        <v>339</v>
      </c>
      <c r="E260" s="11" t="s">
        <v>2827</v>
      </c>
      <c r="F260" s="18" t="s">
        <v>696</v>
      </c>
      <c r="G260" s="3" t="s">
        <v>76</v>
      </c>
      <c r="H260" s="4" t="s">
        <v>340</v>
      </c>
      <c r="K260" s="8" t="s">
        <v>1071</v>
      </c>
      <c r="S260" t="s">
        <v>1216</v>
      </c>
      <c r="T260" s="11" t="s">
        <v>1217</v>
      </c>
      <c r="U260" s="11" t="s">
        <v>696</v>
      </c>
      <c r="V260" s="11" t="s">
        <v>3422</v>
      </c>
      <c r="W260" s="54">
        <f>INDEX([1]ACOMPANHAMENTO!H:H,MATCH(A260,[1]ACOMPANHAMENTO!A:A,0))</f>
        <v>46235</v>
      </c>
      <c r="X260" s="11">
        <f t="shared" ca="1" si="4"/>
        <v>302</v>
      </c>
    </row>
    <row r="261" spans="1:24" x14ac:dyDescent="0.3">
      <c r="A261" s="5">
        <v>301</v>
      </c>
      <c r="B261" s="21">
        <v>103</v>
      </c>
      <c r="C261" s="3" t="s">
        <v>92</v>
      </c>
      <c r="D261" s="4" t="s">
        <v>350</v>
      </c>
      <c r="E261" s="11" t="s">
        <v>2827</v>
      </c>
      <c r="F261" s="18" t="s">
        <v>697</v>
      </c>
      <c r="G261" s="3" t="s">
        <v>100</v>
      </c>
      <c r="H261" s="4" t="s">
        <v>353</v>
      </c>
      <c r="K261" s="8" t="s">
        <v>1055</v>
      </c>
      <c r="M261" s="35">
        <v>0.03</v>
      </c>
      <c r="S261" t="s">
        <v>1293</v>
      </c>
      <c r="T261" s="11" t="s">
        <v>1294</v>
      </c>
      <c r="U261" s="11" t="s">
        <v>746</v>
      </c>
      <c r="V261" s="11" t="s">
        <v>3240</v>
      </c>
      <c r="W261" s="54">
        <f>INDEX([1]ACOMPANHAMENTO!H:H,MATCH(A261,[1]ACOMPANHAMENTO!A:A,0))</f>
        <v>46113</v>
      </c>
      <c r="X261" s="11">
        <f t="shared" ca="1" si="4"/>
        <v>180</v>
      </c>
    </row>
    <row r="262" spans="1:24" x14ac:dyDescent="0.3">
      <c r="A262" s="5">
        <v>302</v>
      </c>
      <c r="B262" s="21">
        <v>32</v>
      </c>
      <c r="C262" s="3" t="s">
        <v>52</v>
      </c>
      <c r="D262" s="4" t="s">
        <v>327</v>
      </c>
      <c r="E262" s="11" t="s">
        <v>2827</v>
      </c>
      <c r="F262" s="18" t="s">
        <v>734</v>
      </c>
      <c r="G262" s="3" t="s">
        <v>51</v>
      </c>
      <c r="H262" s="4" t="s">
        <v>134</v>
      </c>
      <c r="K262" s="8" t="s">
        <v>1065</v>
      </c>
      <c r="M262" s="35">
        <v>0.06</v>
      </c>
      <c r="S262" t="s">
        <v>1489</v>
      </c>
      <c r="T262" s="11" t="s">
        <v>1191</v>
      </c>
      <c r="U262" s="11" t="s">
        <v>734</v>
      </c>
      <c r="V262" s="11" t="s">
        <v>3415</v>
      </c>
      <c r="W262" s="54">
        <f>INDEX([1]ACOMPANHAMENTO!H:H,MATCH(A262,[1]ACOMPANHAMENTO!A:A,0))</f>
        <v>45717</v>
      </c>
      <c r="X262" s="11">
        <f t="shared" ca="1" si="4"/>
        <v>-216</v>
      </c>
    </row>
    <row r="263" spans="1:24" x14ac:dyDescent="0.3">
      <c r="A263" s="5">
        <v>303</v>
      </c>
      <c r="B263" s="21">
        <v>29</v>
      </c>
      <c r="C263" s="3" t="s">
        <v>55</v>
      </c>
      <c r="D263" s="4" t="s">
        <v>133</v>
      </c>
      <c r="E263" s="11" t="s">
        <v>2827</v>
      </c>
      <c r="F263" s="18" t="s">
        <v>883</v>
      </c>
      <c r="G263" s="3" t="s">
        <v>54</v>
      </c>
      <c r="H263" s="4" t="s">
        <v>329</v>
      </c>
      <c r="K263" s="8" t="s">
        <v>1067</v>
      </c>
      <c r="M263" s="35">
        <v>2.1999999999999999E-2</v>
      </c>
      <c r="S263" t="s">
        <v>1196</v>
      </c>
      <c r="T263" s="11" t="s">
        <v>1197</v>
      </c>
      <c r="U263" s="11" t="s">
        <v>883</v>
      </c>
      <c r="V263" s="11" t="s">
        <v>3186</v>
      </c>
      <c r="W263" s="54">
        <f>INDEX([1]ACOMPANHAMENTO!H:H,MATCH(A263,[1]ACOMPANHAMENTO!A:A,0))</f>
        <v>45748</v>
      </c>
      <c r="X263" s="11">
        <f t="shared" ca="1" si="4"/>
        <v>-185</v>
      </c>
    </row>
    <row r="264" spans="1:24" x14ac:dyDescent="0.3">
      <c r="A264" s="5">
        <v>304</v>
      </c>
      <c r="B264" s="21">
        <v>29</v>
      </c>
      <c r="C264" s="3" t="s">
        <v>55</v>
      </c>
      <c r="D264" s="4" t="s">
        <v>133</v>
      </c>
      <c r="E264" s="11" t="s">
        <v>2827</v>
      </c>
      <c r="F264" s="18" t="s">
        <v>883</v>
      </c>
      <c r="G264" s="3" t="s">
        <v>54</v>
      </c>
      <c r="H264" s="4" t="s">
        <v>329</v>
      </c>
      <c r="K264" s="8" t="s">
        <v>1067</v>
      </c>
      <c r="M264" s="35">
        <v>2.1999999999999999E-2</v>
      </c>
      <c r="S264" t="s">
        <v>1196</v>
      </c>
      <c r="T264" s="11" t="s">
        <v>1197</v>
      </c>
      <c r="U264" s="11" t="s">
        <v>883</v>
      </c>
      <c r="V264" s="11" t="s">
        <v>3186</v>
      </c>
      <c r="W264" s="54">
        <f>INDEX([1]ACOMPANHAMENTO!H:H,MATCH(A264,[1]ACOMPANHAMENTO!A:A,0))</f>
        <v>45748</v>
      </c>
      <c r="X264" s="11">
        <f t="shared" ca="1" si="4"/>
        <v>-185</v>
      </c>
    </row>
    <row r="265" spans="1:24" x14ac:dyDescent="0.3">
      <c r="A265" s="5">
        <v>305</v>
      </c>
      <c r="B265" s="21">
        <v>5</v>
      </c>
      <c r="C265" s="3" t="s">
        <v>26</v>
      </c>
      <c r="D265" s="4" t="s">
        <v>306</v>
      </c>
      <c r="E265" s="11" t="s">
        <v>2827</v>
      </c>
      <c r="F265" s="18" t="s">
        <v>698</v>
      </c>
      <c r="G265" s="3" t="s">
        <v>25</v>
      </c>
      <c r="H265" s="4" t="s">
        <v>431</v>
      </c>
      <c r="K265" s="8" t="s">
        <v>1052</v>
      </c>
      <c r="Q265" s="11" t="s">
        <v>1072</v>
      </c>
      <c r="S265" t="s">
        <v>1219</v>
      </c>
      <c r="T265" s="11" t="s">
        <v>1218</v>
      </c>
      <c r="U265" s="11" t="s">
        <v>698</v>
      </c>
      <c r="V265" s="11" t="s">
        <v>2913</v>
      </c>
      <c r="W265" s="54">
        <f>INDEX([1]ACOMPANHAMENTO!H:H,MATCH(A265,[1]ACOMPANHAMENTO!A:A,0))</f>
        <v>45778</v>
      </c>
      <c r="X265" s="11">
        <f t="shared" ca="1" si="4"/>
        <v>-155</v>
      </c>
    </row>
    <row r="266" spans="1:24" x14ac:dyDescent="0.3">
      <c r="A266" s="5">
        <v>306</v>
      </c>
      <c r="B266" s="21">
        <v>258</v>
      </c>
      <c r="C266" s="3" t="s">
        <v>125</v>
      </c>
      <c r="D266" s="4" t="s">
        <v>361</v>
      </c>
      <c r="E266" s="11" t="s">
        <v>2548</v>
      </c>
      <c r="F266" s="18" t="s">
        <v>699</v>
      </c>
      <c r="G266" s="3" t="s">
        <v>126</v>
      </c>
      <c r="H266" s="4" t="s">
        <v>127</v>
      </c>
      <c r="K266" s="8" t="s">
        <v>1052</v>
      </c>
      <c r="L266" s="32">
        <v>0.03</v>
      </c>
      <c r="S266" t="s">
        <v>1359</v>
      </c>
      <c r="T266" s="11" t="s">
        <v>1358</v>
      </c>
      <c r="U266" s="11" t="s">
        <v>727</v>
      </c>
      <c r="V266" s="11" t="s">
        <v>2588</v>
      </c>
      <c r="W266" s="54">
        <f>INDEX([1]ACOMPANHAMENTO!H:H,MATCH(A266,[1]ACOMPANHAMENTO!A:A,0))</f>
        <v>44986</v>
      </c>
      <c r="X266" s="11">
        <f t="shared" ca="1" si="4"/>
        <v>-947</v>
      </c>
    </row>
    <row r="267" spans="1:24" x14ac:dyDescent="0.3">
      <c r="A267" s="5">
        <v>307</v>
      </c>
      <c r="B267" s="21">
        <v>22</v>
      </c>
      <c r="C267" s="3" t="s">
        <v>89</v>
      </c>
      <c r="D267" s="4" t="s">
        <v>347</v>
      </c>
      <c r="E267" s="11" t="s">
        <v>2827</v>
      </c>
      <c r="F267" s="18" t="s">
        <v>721</v>
      </c>
      <c r="G267" s="3" t="s">
        <v>100</v>
      </c>
      <c r="H267" s="4" t="s">
        <v>353</v>
      </c>
      <c r="K267" s="8" t="s">
        <v>1052</v>
      </c>
      <c r="M267" s="35">
        <v>0.04</v>
      </c>
      <c r="S267" t="s">
        <v>1246</v>
      </c>
      <c r="T267" s="11" t="s">
        <v>1233</v>
      </c>
      <c r="U267" s="11" t="s">
        <v>721</v>
      </c>
      <c r="V267" s="11" t="s">
        <v>3432</v>
      </c>
      <c r="W267" s="54">
        <f>INDEX([1]ACOMPANHAMENTO!H:H,MATCH(A267,[1]ACOMPANHAMENTO!A:A,0))</f>
        <v>46113</v>
      </c>
      <c r="X267" s="11">
        <f t="shared" ca="1" si="4"/>
        <v>180</v>
      </c>
    </row>
    <row r="268" spans="1:24" x14ac:dyDescent="0.3">
      <c r="A268" s="5">
        <v>308</v>
      </c>
      <c r="B268" s="21">
        <v>105</v>
      </c>
      <c r="C268" s="3" t="s">
        <v>31</v>
      </c>
      <c r="D268" s="4" t="s">
        <v>32</v>
      </c>
      <c r="E268" s="11" t="s">
        <v>2827</v>
      </c>
      <c r="F268" s="18" t="s">
        <v>700</v>
      </c>
      <c r="G268" s="3" t="s">
        <v>22</v>
      </c>
      <c r="H268" s="4" t="s">
        <v>305</v>
      </c>
      <c r="K268" s="8" t="s">
        <v>1052</v>
      </c>
      <c r="M268" s="35">
        <v>0.02</v>
      </c>
      <c r="S268" t="s">
        <v>1170</v>
      </c>
      <c r="T268" s="11" t="s">
        <v>1171</v>
      </c>
      <c r="U268" s="11" t="s">
        <v>557</v>
      </c>
      <c r="V268" s="11" t="s">
        <v>3241</v>
      </c>
      <c r="W268" s="54">
        <f>INDEX([1]ACOMPANHAMENTO!H:H,MATCH(A268,[1]ACOMPANHAMENTO!A:A,0))</f>
        <v>45717</v>
      </c>
      <c r="X268" s="11">
        <f t="shared" ca="1" si="4"/>
        <v>-216</v>
      </c>
    </row>
    <row r="269" spans="1:24" x14ac:dyDescent="0.3">
      <c r="A269" s="5">
        <v>309</v>
      </c>
      <c r="B269" s="21">
        <v>40</v>
      </c>
      <c r="C269" s="3" t="s">
        <v>36</v>
      </c>
      <c r="D269" s="4" t="s">
        <v>312</v>
      </c>
      <c r="E269" s="11" t="s">
        <v>2827</v>
      </c>
      <c r="F269" s="18" t="s">
        <v>701</v>
      </c>
      <c r="G269" s="3" t="s">
        <v>37</v>
      </c>
      <c r="H269" s="4" t="s">
        <v>313</v>
      </c>
      <c r="K269" s="8" t="s">
        <v>1052</v>
      </c>
      <c r="L269" s="32">
        <v>0.02</v>
      </c>
      <c r="S269" t="s">
        <v>1175</v>
      </c>
      <c r="T269" s="11" t="s">
        <v>1174</v>
      </c>
      <c r="U269" s="11" t="s">
        <v>701</v>
      </c>
      <c r="V269" s="11" t="s">
        <v>3292</v>
      </c>
      <c r="W269" s="54">
        <f>INDEX([1]ACOMPANHAMENTO!H:H,MATCH(A269,[1]ACOMPANHAMENTO!A:A,0))</f>
        <v>45962</v>
      </c>
      <c r="X269" s="11">
        <f t="shared" ca="1" si="4"/>
        <v>29</v>
      </c>
    </row>
    <row r="270" spans="1:24" x14ac:dyDescent="0.3">
      <c r="A270" s="5">
        <v>310</v>
      </c>
      <c r="B270" s="21">
        <v>88</v>
      </c>
      <c r="C270" s="3" t="s">
        <v>105</v>
      </c>
      <c r="D270" s="4" t="s">
        <v>356</v>
      </c>
      <c r="E270" s="11" t="s">
        <v>2827</v>
      </c>
      <c r="F270" s="18" t="s">
        <v>702</v>
      </c>
      <c r="G270" s="3" t="s">
        <v>121</v>
      </c>
      <c r="H270" s="4" t="s">
        <v>122</v>
      </c>
      <c r="K270" s="8" t="s">
        <v>1055</v>
      </c>
      <c r="M270" s="35">
        <v>0.02</v>
      </c>
      <c r="S270" t="s">
        <v>1281</v>
      </c>
      <c r="T270" s="11" t="s">
        <v>1282</v>
      </c>
      <c r="U270" s="11" t="s">
        <v>694</v>
      </c>
      <c r="V270" s="11" t="s">
        <v>3168</v>
      </c>
      <c r="W270" s="54">
        <f>INDEX([1]ACOMPANHAMENTO!H:H,MATCH(A270,[1]ACOMPANHAMENTO!A:A,0))</f>
        <v>46082</v>
      </c>
      <c r="X270" s="11">
        <f t="shared" ca="1" si="4"/>
        <v>149</v>
      </c>
    </row>
    <row r="271" spans="1:24" x14ac:dyDescent="0.3">
      <c r="A271" s="5">
        <v>311</v>
      </c>
      <c r="B271" s="21">
        <v>106</v>
      </c>
      <c r="C271" s="3" t="s">
        <v>84</v>
      </c>
      <c r="D271" s="4" t="s">
        <v>344</v>
      </c>
      <c r="E271" s="11" t="s">
        <v>2827</v>
      </c>
      <c r="F271" s="18" t="s">
        <v>703</v>
      </c>
      <c r="G271" s="3" t="s">
        <v>118</v>
      </c>
      <c r="H271" s="4" t="s">
        <v>358</v>
      </c>
      <c r="K271" s="8" t="s">
        <v>1074</v>
      </c>
      <c r="L271" s="32">
        <v>0.03</v>
      </c>
      <c r="S271" t="s">
        <v>1269</v>
      </c>
      <c r="T271" s="11" t="s">
        <v>1270</v>
      </c>
      <c r="U271" s="11" t="s">
        <v>794</v>
      </c>
      <c r="V271" s="11" t="s">
        <v>3129</v>
      </c>
      <c r="W271" s="54">
        <f>INDEX([1]ACOMPANHAMENTO!H:H,MATCH(A271,[1]ACOMPANHAMENTO!A:A,0))</f>
        <v>45717</v>
      </c>
      <c r="X271" s="11">
        <f t="shared" ca="1" si="4"/>
        <v>-216</v>
      </c>
    </row>
    <row r="272" spans="1:24" x14ac:dyDescent="0.3">
      <c r="A272" s="5">
        <v>312</v>
      </c>
      <c r="B272" s="21">
        <v>1</v>
      </c>
      <c r="C272" s="3" t="s">
        <v>2</v>
      </c>
      <c r="D272" s="4" t="s">
        <v>20</v>
      </c>
      <c r="E272" s="11" t="s">
        <v>2827</v>
      </c>
      <c r="F272" s="18" t="s">
        <v>704</v>
      </c>
      <c r="G272" s="3" t="s">
        <v>1</v>
      </c>
      <c r="H272" s="4" t="s">
        <v>257</v>
      </c>
      <c r="K272" s="8" t="s">
        <v>1052</v>
      </c>
      <c r="M272" s="35">
        <v>0.02</v>
      </c>
      <c r="N272" s="32">
        <v>0.05</v>
      </c>
      <c r="O272" s="32">
        <v>0.1</v>
      </c>
      <c r="P272" s="32">
        <v>0.15</v>
      </c>
      <c r="S272" t="s">
        <v>1138</v>
      </c>
      <c r="T272" s="11" t="s">
        <v>1135</v>
      </c>
      <c r="U272" s="11" t="s">
        <v>704</v>
      </c>
      <c r="V272" s="11" t="s">
        <v>3191</v>
      </c>
      <c r="W272" s="54">
        <f>INDEX([1]ACOMPANHAMENTO!H:H,MATCH(A272,[1]ACOMPANHAMENTO!A:A,0))</f>
        <v>45809</v>
      </c>
      <c r="X272" s="11">
        <f t="shared" ca="1" si="4"/>
        <v>-124</v>
      </c>
    </row>
    <row r="273" spans="1:24" x14ac:dyDescent="0.3">
      <c r="A273" s="5">
        <v>313</v>
      </c>
      <c r="B273" s="21">
        <v>114</v>
      </c>
      <c r="C273" s="3" t="s">
        <v>141</v>
      </c>
      <c r="D273" s="4" t="s">
        <v>470</v>
      </c>
      <c r="E273" s="11" t="s">
        <v>2827</v>
      </c>
      <c r="F273" s="18" t="s">
        <v>705</v>
      </c>
      <c r="G273" s="3" t="s">
        <v>113</v>
      </c>
      <c r="H273" s="4" t="s">
        <v>114</v>
      </c>
      <c r="K273" s="8"/>
      <c r="S273" t="s">
        <v>1364</v>
      </c>
      <c r="T273" s="11" t="s">
        <v>1364</v>
      </c>
      <c r="U273" s="11" t="s">
        <v>3624</v>
      </c>
      <c r="V273" s="11" t="s">
        <v>3472</v>
      </c>
      <c r="W273" s="54">
        <f>INDEX([1]ACOMPANHAMENTO!H:H,MATCH(A273,[1]ACOMPANHAMENTO!A:A,0))</f>
        <v>42795</v>
      </c>
      <c r="X273" s="11">
        <f t="shared" ca="1" si="4"/>
        <v>-3138</v>
      </c>
    </row>
    <row r="274" spans="1:24" x14ac:dyDescent="0.3">
      <c r="A274" s="5">
        <v>314</v>
      </c>
      <c r="B274" s="21">
        <v>56</v>
      </c>
      <c r="C274" s="3" t="s">
        <v>84</v>
      </c>
      <c r="D274" s="4" t="s">
        <v>344</v>
      </c>
      <c r="E274" s="11" t="s">
        <v>2827</v>
      </c>
      <c r="F274" s="18" t="s">
        <v>706</v>
      </c>
      <c r="G274" s="3" t="s">
        <v>86</v>
      </c>
      <c r="H274" s="4" t="s">
        <v>346</v>
      </c>
      <c r="K274" s="8" t="s">
        <v>1074</v>
      </c>
      <c r="L274" s="32">
        <v>0.03</v>
      </c>
      <c r="S274" t="s">
        <v>1226</v>
      </c>
      <c r="T274" s="11" t="s">
        <v>1227</v>
      </c>
      <c r="U274" s="11" t="s">
        <v>794</v>
      </c>
      <c r="V274" s="11" t="s">
        <v>2989</v>
      </c>
      <c r="W274" s="54">
        <f>INDEX([1]ACOMPANHAMENTO!H:H,MATCH(A274,[1]ACOMPANHAMENTO!A:A,0))</f>
        <v>45717</v>
      </c>
      <c r="X274" s="11">
        <f t="shared" ca="1" si="4"/>
        <v>-216</v>
      </c>
    </row>
    <row r="275" spans="1:24" x14ac:dyDescent="0.3">
      <c r="A275" s="5">
        <v>315</v>
      </c>
      <c r="B275" s="21">
        <v>120</v>
      </c>
      <c r="C275" s="3" t="s">
        <v>146</v>
      </c>
      <c r="D275" s="4" t="s">
        <v>373</v>
      </c>
      <c r="E275" s="11" t="s">
        <v>2827</v>
      </c>
      <c r="F275" s="18" t="s">
        <v>707</v>
      </c>
      <c r="G275" s="3" t="s">
        <v>60</v>
      </c>
      <c r="H275" s="4" t="s">
        <v>330</v>
      </c>
      <c r="K275" s="8" t="s">
        <v>1067</v>
      </c>
      <c r="L275" s="32">
        <v>1.4999999999999999E-2</v>
      </c>
      <c r="M275" s="35">
        <v>0.05</v>
      </c>
      <c r="Q275" s="11" t="s">
        <v>1089</v>
      </c>
      <c r="S275" t="s">
        <v>1317</v>
      </c>
      <c r="T275" s="11" t="s">
        <v>1318</v>
      </c>
      <c r="U275" t="s">
        <v>3613</v>
      </c>
      <c r="V275" t="s">
        <v>3473</v>
      </c>
      <c r="W275" s="54">
        <f>INDEX([1]ACOMPANHAMENTO!H:H,MATCH(A275,[1]ACOMPANHAMENTO!A:A,0))</f>
        <v>45717</v>
      </c>
      <c r="X275" s="11">
        <f t="shared" ca="1" si="4"/>
        <v>-216</v>
      </c>
    </row>
    <row r="276" spans="1:24" x14ac:dyDescent="0.3">
      <c r="A276" s="5">
        <v>316</v>
      </c>
      <c r="B276" s="21">
        <v>2</v>
      </c>
      <c r="C276" s="3" t="s">
        <v>9</v>
      </c>
      <c r="D276" s="4" t="s">
        <v>295</v>
      </c>
      <c r="E276" s="11" t="s">
        <v>2827</v>
      </c>
      <c r="F276" s="18" t="s">
        <v>708</v>
      </c>
      <c r="G276" s="3" t="s">
        <v>8</v>
      </c>
      <c r="H276" s="4" t="s">
        <v>294</v>
      </c>
      <c r="K276" s="8" t="s">
        <v>1052</v>
      </c>
      <c r="M276" s="35">
        <v>4.4999999999999998E-2</v>
      </c>
      <c r="S276" t="s">
        <v>1139</v>
      </c>
      <c r="T276" s="11" t="s">
        <v>1140</v>
      </c>
      <c r="U276" t="s">
        <v>3587</v>
      </c>
      <c r="V276" t="s">
        <v>3474</v>
      </c>
      <c r="W276" s="54">
        <f>INDEX([1]ACOMPANHAMENTO!H:H,MATCH(A276,[1]ACOMPANHAMENTO!A:A,0))</f>
        <v>45689</v>
      </c>
      <c r="X276" s="11">
        <f t="shared" ca="1" si="4"/>
        <v>-244</v>
      </c>
    </row>
    <row r="277" spans="1:24" x14ac:dyDescent="0.3">
      <c r="A277" s="5">
        <v>317</v>
      </c>
      <c r="B277" s="21">
        <v>154</v>
      </c>
      <c r="C277" s="3" t="s">
        <v>135</v>
      </c>
      <c r="D277" s="4" t="s">
        <v>366</v>
      </c>
      <c r="E277" s="11" t="s">
        <v>2827</v>
      </c>
      <c r="F277" s="18" t="s">
        <v>709</v>
      </c>
      <c r="G277" s="3" t="s">
        <v>136</v>
      </c>
      <c r="H277" s="4" t="s">
        <v>367</v>
      </c>
      <c r="K277" s="8" t="s">
        <v>1067</v>
      </c>
      <c r="M277" s="35">
        <v>0.06</v>
      </c>
      <c r="S277" t="s">
        <v>1304</v>
      </c>
      <c r="T277" s="11" t="s">
        <v>1303</v>
      </c>
      <c r="U277" s="11" t="s">
        <v>3622</v>
      </c>
      <c r="V277" s="11" t="s">
        <v>2838</v>
      </c>
      <c r="W277" s="54">
        <f>INDEX([1]ACOMPANHAMENTO!H:H,MATCH(A277,[1]ACOMPANHAMENTO!A:A,0))</f>
        <v>45962</v>
      </c>
      <c r="X277" s="11">
        <f t="shared" ca="1" si="4"/>
        <v>29</v>
      </c>
    </row>
    <row r="278" spans="1:24" x14ac:dyDescent="0.3">
      <c r="A278" s="5">
        <v>318</v>
      </c>
      <c r="B278" s="21">
        <v>113</v>
      </c>
      <c r="C278" s="3" t="s">
        <v>139</v>
      </c>
      <c r="D278" s="4" t="s">
        <v>140</v>
      </c>
      <c r="E278" s="11" t="s">
        <v>2548</v>
      </c>
      <c r="F278" s="18" t="s">
        <v>710</v>
      </c>
      <c r="G278" s="3" t="s">
        <v>138</v>
      </c>
      <c r="H278" s="4" t="s">
        <v>369</v>
      </c>
      <c r="K278" s="8" t="s">
        <v>1085</v>
      </c>
      <c r="S278" t="s">
        <v>1306</v>
      </c>
      <c r="T278" s="11" t="s">
        <v>1305</v>
      </c>
      <c r="U278" s="11" t="s">
        <v>3623</v>
      </c>
      <c r="V278" s="11" t="s">
        <v>3475</v>
      </c>
      <c r="W278" s="54">
        <f>INDEX([1]ACOMPANHAMENTO!H:H,MATCH(A278,[1]ACOMPANHAMENTO!A:A,0))</f>
        <v>45778</v>
      </c>
      <c r="X278" s="11">
        <f t="shared" ca="1" si="4"/>
        <v>-155</v>
      </c>
    </row>
    <row r="279" spans="1:24" x14ac:dyDescent="0.3">
      <c r="A279" s="5">
        <v>319</v>
      </c>
      <c r="B279" s="21">
        <v>102</v>
      </c>
      <c r="C279" s="3" t="s">
        <v>129</v>
      </c>
      <c r="D279" s="4" t="s">
        <v>363</v>
      </c>
      <c r="E279" s="11" t="s">
        <v>2827</v>
      </c>
      <c r="F279" s="18" t="s">
        <v>941</v>
      </c>
      <c r="G279" s="3" t="s">
        <v>128</v>
      </c>
      <c r="H279" s="4" t="s">
        <v>362</v>
      </c>
      <c r="K279" s="8" t="s">
        <v>1055</v>
      </c>
      <c r="Q279" s="11" t="s">
        <v>1084</v>
      </c>
      <c r="S279" t="s">
        <v>1291</v>
      </c>
      <c r="T279" s="11" t="s">
        <v>1292</v>
      </c>
      <c r="U279" s="11" t="s">
        <v>941</v>
      </c>
      <c r="V279" s="11" t="s">
        <v>2920</v>
      </c>
      <c r="W279" s="54">
        <f>INDEX([1]ACOMPANHAMENTO!H:H,MATCH(A279,[1]ACOMPANHAMENTO!A:A,0))</f>
        <v>46204</v>
      </c>
      <c r="X279" s="11">
        <f t="shared" ca="1" si="4"/>
        <v>271</v>
      </c>
    </row>
    <row r="280" spans="1:24" x14ac:dyDescent="0.3">
      <c r="A280" s="5">
        <v>320</v>
      </c>
      <c r="B280" s="21">
        <v>43</v>
      </c>
      <c r="C280" s="3" t="s">
        <v>58</v>
      </c>
      <c r="D280" s="4" t="s">
        <v>59</v>
      </c>
      <c r="E280" s="11" t="s">
        <v>2827</v>
      </c>
      <c r="F280" s="18" t="s">
        <v>711</v>
      </c>
      <c r="G280" s="3" t="s">
        <v>56</v>
      </c>
      <c r="H280" s="4" t="s">
        <v>57</v>
      </c>
      <c r="K280" s="8" t="s">
        <v>1052</v>
      </c>
      <c r="M280" s="35">
        <v>0.03</v>
      </c>
      <c r="S280" t="s">
        <v>1200</v>
      </c>
      <c r="T280" s="11" t="s">
        <v>1201</v>
      </c>
      <c r="U280" s="11" t="s">
        <v>3612</v>
      </c>
      <c r="V280" s="11" t="s">
        <v>3476</v>
      </c>
      <c r="W280" s="54">
        <f>INDEX([1]ACOMPANHAMENTO!H:H,MATCH(A280,[1]ACOMPANHAMENTO!A:A,0))</f>
        <v>45748</v>
      </c>
      <c r="X280" s="11">
        <f t="shared" ca="1" si="4"/>
        <v>-185</v>
      </c>
    </row>
    <row r="281" spans="1:24" x14ac:dyDescent="0.3">
      <c r="A281" s="5">
        <v>321</v>
      </c>
      <c r="B281" s="21">
        <v>175</v>
      </c>
      <c r="C281" s="3" t="s">
        <v>105</v>
      </c>
      <c r="D281" s="4" t="s">
        <v>356</v>
      </c>
      <c r="E281" s="11" t="s">
        <v>2827</v>
      </c>
      <c r="F281" s="18" t="s">
        <v>712</v>
      </c>
      <c r="G281" s="3" t="s">
        <v>3</v>
      </c>
      <c r="H281" s="4" t="s">
        <v>7</v>
      </c>
      <c r="K281" s="8" t="s">
        <v>1100</v>
      </c>
      <c r="M281" s="35">
        <v>0.02</v>
      </c>
      <c r="S281" t="s">
        <v>1355</v>
      </c>
      <c r="T281" s="11" t="s">
        <v>1354</v>
      </c>
      <c r="U281" s="11" t="s">
        <v>694</v>
      </c>
      <c r="V281" s="11" t="s">
        <v>2842</v>
      </c>
      <c r="W281" s="54">
        <f>INDEX([1]ACOMPANHAMENTO!H:H,MATCH(A281,[1]ACOMPANHAMENTO!A:A,0))</f>
        <v>45717</v>
      </c>
      <c r="X281" s="11">
        <f t="shared" ca="1" si="4"/>
        <v>-216</v>
      </c>
    </row>
    <row r="282" spans="1:24" x14ac:dyDescent="0.3">
      <c r="A282" s="5">
        <v>322</v>
      </c>
      <c r="B282" s="21">
        <v>259</v>
      </c>
      <c r="C282" s="3" t="s">
        <v>6</v>
      </c>
      <c r="D282" s="4" t="s">
        <v>430</v>
      </c>
      <c r="E282" s="11" t="s">
        <v>2827</v>
      </c>
      <c r="F282" s="18" t="s">
        <v>713</v>
      </c>
      <c r="G282" s="3" t="s">
        <v>3</v>
      </c>
      <c r="H282" s="4" t="s">
        <v>7</v>
      </c>
      <c r="K282" s="8" t="s">
        <v>1055</v>
      </c>
      <c r="M282" s="35">
        <v>0.02</v>
      </c>
      <c r="S282" t="s">
        <v>1361</v>
      </c>
      <c r="T282" s="11" t="s">
        <v>1360</v>
      </c>
      <c r="U282" s="11" t="s">
        <v>695</v>
      </c>
      <c r="V282" s="11" t="s">
        <v>2866</v>
      </c>
      <c r="W282" s="54">
        <f>INDEX([1]ACOMPANHAMENTO!H:H,MATCH(A282,[1]ACOMPANHAMENTO!A:A,0))</f>
        <v>45717</v>
      </c>
      <c r="X282" s="11">
        <f t="shared" ca="1" si="4"/>
        <v>-216</v>
      </c>
    </row>
    <row r="283" spans="1:24" x14ac:dyDescent="0.3">
      <c r="A283" s="5">
        <v>323</v>
      </c>
      <c r="B283" s="21">
        <v>226</v>
      </c>
      <c r="C283" s="3" t="s">
        <v>31</v>
      </c>
      <c r="D283" s="4" t="s">
        <v>32</v>
      </c>
      <c r="E283" s="11" t="s">
        <v>1510</v>
      </c>
      <c r="F283" s="18" t="s">
        <v>788</v>
      </c>
      <c r="G283" s="3" t="s">
        <v>3</v>
      </c>
      <c r="H283" s="4" t="s">
        <v>7</v>
      </c>
      <c r="K283" s="8" t="s">
        <v>1055</v>
      </c>
      <c r="S283" t="s">
        <v>1316</v>
      </c>
      <c r="T283" s="11" t="s">
        <v>1315</v>
      </c>
      <c r="U283" s="11" t="s">
        <v>557</v>
      </c>
      <c r="V283" s="11" t="s">
        <v>1953</v>
      </c>
      <c r="W283" s="54">
        <f>INDEX([1]ACOMPANHAMENTO!H:H,MATCH(A283,[1]ACOMPANHAMENTO!A:A,0))</f>
        <v>45717</v>
      </c>
      <c r="X283" s="11">
        <f t="shared" ca="1" si="4"/>
        <v>-216</v>
      </c>
    </row>
    <row r="284" spans="1:24" x14ac:dyDescent="0.3">
      <c r="A284" s="5">
        <v>324</v>
      </c>
      <c r="B284" s="21">
        <v>2</v>
      </c>
      <c r="C284" s="3" t="s">
        <v>9</v>
      </c>
      <c r="D284" s="4" t="s">
        <v>295</v>
      </c>
      <c r="E284" s="11" t="s">
        <v>2827</v>
      </c>
      <c r="F284" s="18" t="s">
        <v>714</v>
      </c>
      <c r="G284" s="3" t="s">
        <v>8</v>
      </c>
      <c r="H284" s="4" t="s">
        <v>294</v>
      </c>
      <c r="K284" s="8" t="s">
        <v>1052</v>
      </c>
      <c r="M284" s="35">
        <v>4.4999999999999998E-2</v>
      </c>
      <c r="S284" t="s">
        <v>1139</v>
      </c>
      <c r="T284" s="11" t="s">
        <v>1140</v>
      </c>
      <c r="U284" t="s">
        <v>3587</v>
      </c>
      <c r="V284" t="s">
        <v>3477</v>
      </c>
      <c r="W284" s="54">
        <f>INDEX([1]ACOMPANHAMENTO!H:H,MATCH(A284,[1]ACOMPANHAMENTO!A:A,0))</f>
        <v>45689</v>
      </c>
      <c r="X284" s="11">
        <f t="shared" ca="1" si="4"/>
        <v>-244</v>
      </c>
    </row>
    <row r="285" spans="1:24" x14ac:dyDescent="0.3">
      <c r="A285" s="5">
        <v>325</v>
      </c>
      <c r="B285" s="21">
        <v>43</v>
      </c>
      <c r="C285" s="3" t="s">
        <v>58</v>
      </c>
      <c r="D285" s="4" t="s">
        <v>59</v>
      </c>
      <c r="E285" s="11" t="s">
        <v>2827</v>
      </c>
      <c r="F285" s="18" t="s">
        <v>715</v>
      </c>
      <c r="G285" s="3" t="s">
        <v>56</v>
      </c>
      <c r="H285" s="4" t="s">
        <v>57</v>
      </c>
      <c r="K285" s="8" t="s">
        <v>1052</v>
      </c>
      <c r="M285" s="35">
        <v>0.03</v>
      </c>
      <c r="S285" t="s">
        <v>1200</v>
      </c>
      <c r="T285" s="11" t="s">
        <v>1201</v>
      </c>
      <c r="U285" s="11" t="s">
        <v>3612</v>
      </c>
      <c r="V285" s="11" t="s">
        <v>3127</v>
      </c>
      <c r="W285" s="54">
        <f>INDEX([1]ACOMPANHAMENTO!H:H,MATCH(A285,[1]ACOMPANHAMENTO!A:A,0))</f>
        <v>45748</v>
      </c>
      <c r="X285" s="11">
        <f t="shared" ca="1" si="4"/>
        <v>-185</v>
      </c>
    </row>
    <row r="286" spans="1:24" x14ac:dyDescent="0.3">
      <c r="A286" s="5">
        <v>326</v>
      </c>
      <c r="B286" s="21">
        <v>99</v>
      </c>
      <c r="C286" s="3" t="s">
        <v>95</v>
      </c>
      <c r="D286" s="4" t="s">
        <v>351</v>
      </c>
      <c r="E286" s="11" t="s">
        <v>2827</v>
      </c>
      <c r="F286" s="20" t="s">
        <v>1036</v>
      </c>
      <c r="G286" s="3" t="s">
        <v>96</v>
      </c>
      <c r="H286" s="4" t="s">
        <v>103</v>
      </c>
      <c r="K286" s="8" t="s">
        <v>1052</v>
      </c>
      <c r="S286" t="s">
        <v>1242</v>
      </c>
      <c r="T286" s="11" t="s">
        <v>1241</v>
      </c>
      <c r="U286" s="11" t="s">
        <v>852</v>
      </c>
      <c r="V286" s="11" t="s">
        <v>3429</v>
      </c>
      <c r="W286" s="54">
        <f>INDEX([1]ACOMPANHAMENTO!H:H,MATCH(A286,[1]ACOMPANHAMENTO!A:A,0))</f>
        <v>45809</v>
      </c>
      <c r="X286" s="11">
        <f t="shared" ca="1" si="4"/>
        <v>-124</v>
      </c>
    </row>
    <row r="287" spans="1:24" x14ac:dyDescent="0.3">
      <c r="A287" s="5">
        <v>327</v>
      </c>
      <c r="B287" s="21">
        <v>122</v>
      </c>
      <c r="C287" s="3" t="s">
        <v>149</v>
      </c>
      <c r="D287" s="4" t="s">
        <v>176</v>
      </c>
      <c r="E287" s="11" t="s">
        <v>2156</v>
      </c>
      <c r="F287" s="18" t="s">
        <v>716</v>
      </c>
      <c r="G287" s="3" t="s">
        <v>148</v>
      </c>
      <c r="H287" s="4" t="s">
        <v>375</v>
      </c>
      <c r="K287" s="8" t="s">
        <v>1052</v>
      </c>
      <c r="S287" t="s">
        <v>1319</v>
      </c>
      <c r="T287" s="11" t="s">
        <v>1320</v>
      </c>
      <c r="U287" s="11" t="s">
        <v>716</v>
      </c>
      <c r="V287" s="11" t="s">
        <v>2409</v>
      </c>
      <c r="W287" s="54">
        <f>INDEX([1]ACOMPANHAMENTO!H:H,MATCH(A287,[1]ACOMPANHAMENTO!A:A,0))</f>
        <v>45809</v>
      </c>
      <c r="X287" s="11">
        <f t="shared" ca="1" si="4"/>
        <v>-124</v>
      </c>
    </row>
    <row r="288" spans="1:24" x14ac:dyDescent="0.3">
      <c r="A288" s="5">
        <v>328</v>
      </c>
      <c r="B288" s="21">
        <v>130</v>
      </c>
      <c r="C288" s="3" t="s">
        <v>149</v>
      </c>
      <c r="D288" s="4" t="s">
        <v>176</v>
      </c>
      <c r="E288" s="11" t="s">
        <v>2156</v>
      </c>
      <c r="F288" s="18" t="s">
        <v>717</v>
      </c>
      <c r="G288" s="3" t="s">
        <v>169</v>
      </c>
      <c r="H288" s="4" t="s">
        <v>385</v>
      </c>
      <c r="K288" s="8" t="s">
        <v>1052</v>
      </c>
      <c r="S288" t="s">
        <v>1332</v>
      </c>
      <c r="T288" s="11" t="s">
        <v>1331</v>
      </c>
      <c r="U288" s="11" t="s">
        <v>716</v>
      </c>
      <c r="V288" s="11" t="s">
        <v>3478</v>
      </c>
      <c r="W288" s="54">
        <f>INDEX([1]ACOMPANHAMENTO!H:H,MATCH(A288,[1]ACOMPANHAMENTO!A:A,0))</f>
        <v>45809</v>
      </c>
      <c r="X288" s="11">
        <f t="shared" ca="1" si="4"/>
        <v>-124</v>
      </c>
    </row>
    <row r="289" spans="1:24" x14ac:dyDescent="0.3">
      <c r="A289" s="5">
        <v>329</v>
      </c>
      <c r="B289" s="21">
        <v>127</v>
      </c>
      <c r="C289" s="3" t="s">
        <v>159</v>
      </c>
      <c r="D289" s="4" t="s">
        <v>160</v>
      </c>
      <c r="E289" s="11" t="s">
        <v>2156</v>
      </c>
      <c r="F289" s="18" t="s">
        <v>718</v>
      </c>
      <c r="G289" s="3" t="s">
        <v>158</v>
      </c>
      <c r="H289" s="4" t="s">
        <v>380</v>
      </c>
      <c r="K289" s="8" t="s">
        <v>1090</v>
      </c>
      <c r="S289" t="s">
        <v>1326</v>
      </c>
      <c r="T289" s="11" t="s">
        <v>1320</v>
      </c>
      <c r="U289" s="11" t="s">
        <v>819</v>
      </c>
      <c r="V289" s="11" t="s">
        <v>2473</v>
      </c>
      <c r="W289" s="54">
        <f>INDEX([1]ACOMPANHAMENTO!H:H,MATCH(A289,[1]ACOMPANHAMENTO!A:A,0))</f>
        <v>45809</v>
      </c>
      <c r="X289" s="11">
        <f t="shared" ca="1" si="4"/>
        <v>-124</v>
      </c>
    </row>
    <row r="290" spans="1:24" x14ac:dyDescent="0.3">
      <c r="A290" s="5">
        <v>330</v>
      </c>
      <c r="B290" s="21">
        <v>129</v>
      </c>
      <c r="C290" s="3" t="s">
        <v>163</v>
      </c>
      <c r="D290" s="4" t="s">
        <v>164</v>
      </c>
      <c r="E290" s="11" t="s">
        <v>2156</v>
      </c>
      <c r="F290" s="18" t="s">
        <v>719</v>
      </c>
      <c r="G290" s="3" t="s">
        <v>161</v>
      </c>
      <c r="H290" s="4" t="s">
        <v>162</v>
      </c>
      <c r="K290" s="8" t="s">
        <v>1092</v>
      </c>
      <c r="S290" t="s">
        <v>1328</v>
      </c>
      <c r="T290" s="11" t="s">
        <v>1327</v>
      </c>
      <c r="U290" s="11" t="s">
        <v>906</v>
      </c>
      <c r="V290" s="11" t="s">
        <v>3479</v>
      </c>
      <c r="W290" s="54">
        <f>INDEX([1]ACOMPANHAMENTO!H:H,MATCH(A290,[1]ACOMPANHAMENTO!A:A,0))</f>
        <v>45809</v>
      </c>
      <c r="X290" s="11">
        <f t="shared" ca="1" si="4"/>
        <v>-124</v>
      </c>
    </row>
    <row r="291" spans="1:24" x14ac:dyDescent="0.3">
      <c r="A291" s="5">
        <v>331</v>
      </c>
      <c r="B291" s="21">
        <v>225</v>
      </c>
      <c r="C291" s="3" t="s">
        <v>39</v>
      </c>
      <c r="D291" s="4" t="s">
        <v>315</v>
      </c>
      <c r="E291" s="11" t="s">
        <v>2827</v>
      </c>
      <c r="F291" s="18" t="s">
        <v>720</v>
      </c>
      <c r="G291" s="3" t="s">
        <v>3</v>
      </c>
      <c r="H291" s="4" t="s">
        <v>7</v>
      </c>
      <c r="K291" s="8" t="s">
        <v>1099</v>
      </c>
      <c r="M291" s="35">
        <v>0.02</v>
      </c>
      <c r="S291" t="s">
        <v>1362</v>
      </c>
      <c r="T291" s="11" t="s">
        <v>1363</v>
      </c>
      <c r="U291" s="11" t="s">
        <v>675</v>
      </c>
      <c r="V291" s="11" t="s">
        <v>3063</v>
      </c>
      <c r="W291" s="54">
        <f>INDEX([1]ACOMPANHAMENTO!H:H,MATCH(A291,[1]ACOMPANHAMENTO!A:A,0))</f>
        <v>45717</v>
      </c>
      <c r="X291" s="11">
        <f t="shared" ca="1" si="4"/>
        <v>-216</v>
      </c>
    </row>
    <row r="292" spans="1:24" x14ac:dyDescent="0.3">
      <c r="A292" s="5">
        <v>332</v>
      </c>
      <c r="B292" s="21">
        <v>22</v>
      </c>
      <c r="C292" s="3" t="s">
        <v>89</v>
      </c>
      <c r="D292" s="4" t="s">
        <v>347</v>
      </c>
      <c r="E292" s="11" t="s">
        <v>2827</v>
      </c>
      <c r="F292" s="18" t="s">
        <v>721</v>
      </c>
      <c r="G292" s="3" t="s">
        <v>100</v>
      </c>
      <c r="H292" s="4" t="s">
        <v>353</v>
      </c>
      <c r="K292" s="8" t="s">
        <v>1052</v>
      </c>
      <c r="M292" s="35">
        <v>0.04</v>
      </c>
      <c r="S292" t="s">
        <v>1246</v>
      </c>
      <c r="T292" s="11" t="s">
        <v>1233</v>
      </c>
      <c r="U292" s="11" t="s">
        <v>721</v>
      </c>
      <c r="V292" s="11" t="s">
        <v>3432</v>
      </c>
      <c r="W292" s="54">
        <f>INDEX([1]ACOMPANHAMENTO!H:H,MATCH(A292,[1]ACOMPANHAMENTO!A:A,0))</f>
        <v>46113</v>
      </c>
      <c r="X292" s="11">
        <f t="shared" ca="1" si="4"/>
        <v>180</v>
      </c>
    </row>
    <row r="293" spans="1:24" x14ac:dyDescent="0.3">
      <c r="A293" s="5">
        <v>333</v>
      </c>
      <c r="B293" s="21">
        <v>245</v>
      </c>
      <c r="C293" s="3" t="s">
        <v>16</v>
      </c>
      <c r="D293" s="4" t="s">
        <v>300</v>
      </c>
      <c r="E293" s="11" t="s">
        <v>2827</v>
      </c>
      <c r="F293" s="18" t="s">
        <v>722</v>
      </c>
      <c r="G293" s="3" t="s">
        <v>3</v>
      </c>
      <c r="H293" s="4" t="s">
        <v>7</v>
      </c>
      <c r="K293" s="8" t="s">
        <v>1059</v>
      </c>
      <c r="M293" s="35">
        <v>0.03</v>
      </c>
      <c r="S293" t="s">
        <v>1168</v>
      </c>
      <c r="T293" s="11" t="s">
        <v>1169</v>
      </c>
      <c r="U293" s="11" t="s">
        <v>731</v>
      </c>
      <c r="V293" s="11" t="s">
        <v>3036</v>
      </c>
      <c r="W293" s="54">
        <f>INDEX([1]ACOMPANHAMENTO!H:H,MATCH(A293,[1]ACOMPANHAMENTO!A:A,0))</f>
        <v>45717</v>
      </c>
      <c r="X293" s="11">
        <f t="shared" ca="1" si="4"/>
        <v>-216</v>
      </c>
    </row>
    <row r="294" spans="1:24" x14ac:dyDescent="0.3">
      <c r="A294" s="5">
        <v>334</v>
      </c>
      <c r="B294" s="21">
        <v>96</v>
      </c>
      <c r="C294" s="3" t="s">
        <v>112</v>
      </c>
      <c r="D294" s="4" t="s">
        <v>357</v>
      </c>
      <c r="E294" s="11" t="s">
        <v>2827</v>
      </c>
      <c r="F294" s="18" t="s">
        <v>723</v>
      </c>
      <c r="G294" s="3" t="s">
        <v>96</v>
      </c>
      <c r="H294" s="4" t="s">
        <v>103</v>
      </c>
      <c r="K294" s="8" t="s">
        <v>1052</v>
      </c>
      <c r="M294" s="35">
        <v>0.02</v>
      </c>
      <c r="S294" t="s">
        <v>1242</v>
      </c>
      <c r="T294" s="11" t="s">
        <v>1265</v>
      </c>
      <c r="U294" s="11" t="s">
        <v>598</v>
      </c>
      <c r="V294" s="11" t="s">
        <v>3480</v>
      </c>
      <c r="W294" s="54">
        <f>INDEX([1]ACOMPANHAMENTO!H:H,MATCH(A294,[1]ACOMPANHAMENTO!A:A,0))</f>
        <v>45809</v>
      </c>
      <c r="X294" s="11">
        <f t="shared" ca="1" si="4"/>
        <v>-124</v>
      </c>
    </row>
    <row r="295" spans="1:24" x14ac:dyDescent="0.3">
      <c r="A295" s="5">
        <v>335</v>
      </c>
      <c r="B295" s="21">
        <v>33</v>
      </c>
      <c r="C295" s="3" t="s">
        <v>92</v>
      </c>
      <c r="D295" s="4" t="s">
        <v>350</v>
      </c>
      <c r="E295" s="11" t="s">
        <v>2827</v>
      </c>
      <c r="F295" s="18" t="s">
        <v>746</v>
      </c>
      <c r="G295" s="3" t="s">
        <v>51</v>
      </c>
      <c r="H295" s="4" t="s">
        <v>134</v>
      </c>
      <c r="K295" s="8" t="s">
        <v>1051</v>
      </c>
      <c r="S295" t="s">
        <v>1238</v>
      </c>
      <c r="T295" s="11" t="s">
        <v>1237</v>
      </c>
      <c r="U295" s="11" t="s">
        <v>746</v>
      </c>
      <c r="V295" s="11" t="s">
        <v>2904</v>
      </c>
      <c r="W295" s="54">
        <f>INDEX([1]ACOMPANHAMENTO!H:H,MATCH(A295,[1]ACOMPANHAMENTO!A:A,0))</f>
        <v>45962</v>
      </c>
      <c r="X295" s="11">
        <f t="shared" ca="1" si="4"/>
        <v>29</v>
      </c>
    </row>
    <row r="296" spans="1:24" x14ac:dyDescent="0.3">
      <c r="A296" s="5">
        <v>336</v>
      </c>
      <c r="B296" s="21">
        <v>29</v>
      </c>
      <c r="C296" s="3" t="s">
        <v>55</v>
      </c>
      <c r="D296" s="4" t="s">
        <v>133</v>
      </c>
      <c r="E296" s="11" t="s">
        <v>2827</v>
      </c>
      <c r="F296" s="18" t="s">
        <v>883</v>
      </c>
      <c r="G296" s="3" t="s">
        <v>54</v>
      </c>
      <c r="H296" s="4" t="s">
        <v>329</v>
      </c>
      <c r="K296" s="8" t="s">
        <v>1067</v>
      </c>
      <c r="M296" s="35">
        <v>2.1999999999999999E-2</v>
      </c>
      <c r="S296" t="s">
        <v>1196</v>
      </c>
      <c r="T296" s="11" t="s">
        <v>1197</v>
      </c>
      <c r="U296" s="11" t="s">
        <v>883</v>
      </c>
      <c r="V296" s="11" t="s">
        <v>3186</v>
      </c>
      <c r="W296" s="54">
        <f>INDEX([1]ACOMPANHAMENTO!H:H,MATCH(A296,[1]ACOMPANHAMENTO!A:A,0))</f>
        <v>45748</v>
      </c>
      <c r="X296" s="11">
        <f t="shared" ca="1" si="4"/>
        <v>-185</v>
      </c>
    </row>
    <row r="297" spans="1:24" x14ac:dyDescent="0.3">
      <c r="A297" s="5">
        <v>337</v>
      </c>
      <c r="B297" s="21">
        <v>121</v>
      </c>
      <c r="C297" s="3" t="s">
        <v>189</v>
      </c>
      <c r="D297" s="4" t="s">
        <v>394</v>
      </c>
      <c r="E297" s="11" t="s">
        <v>2548</v>
      </c>
      <c r="F297" s="18" t="s">
        <v>724</v>
      </c>
      <c r="G297" s="3" t="s">
        <v>188</v>
      </c>
      <c r="H297" s="4" t="s">
        <v>393</v>
      </c>
      <c r="K297" s="8" t="s">
        <v>1085</v>
      </c>
      <c r="S297" t="s">
        <v>1366</v>
      </c>
      <c r="T297" s="11" t="s">
        <v>1365</v>
      </c>
      <c r="U297" s="11" t="s">
        <v>3632</v>
      </c>
      <c r="V297" s="11" t="s">
        <v>3481</v>
      </c>
      <c r="W297" s="54">
        <f>INDEX([1]ACOMPANHAMENTO!H:H,MATCH(A297,[1]ACOMPANHAMENTO!A:A,0))</f>
        <v>45778</v>
      </c>
      <c r="X297" s="11">
        <f t="shared" ca="1" si="4"/>
        <v>-155</v>
      </c>
    </row>
    <row r="298" spans="1:24" x14ac:dyDescent="0.3">
      <c r="A298" s="5">
        <v>338</v>
      </c>
      <c r="B298" s="21">
        <v>99</v>
      </c>
      <c r="C298" s="3" t="s">
        <v>95</v>
      </c>
      <c r="D298" s="4" t="s">
        <v>351</v>
      </c>
      <c r="E298" s="11" t="s">
        <v>2827</v>
      </c>
      <c r="F298" s="18" t="s">
        <v>725</v>
      </c>
      <c r="G298" s="3" t="s">
        <v>96</v>
      </c>
      <c r="H298" s="4" t="s">
        <v>103</v>
      </c>
      <c r="K298" s="8" t="s">
        <v>1052</v>
      </c>
      <c r="M298" s="35">
        <v>0.02</v>
      </c>
      <c r="S298" t="s">
        <v>1242</v>
      </c>
      <c r="T298" s="11" t="s">
        <v>1241</v>
      </c>
      <c r="U298" s="11" t="s">
        <v>852</v>
      </c>
      <c r="V298" s="11" t="s">
        <v>3265</v>
      </c>
      <c r="W298" s="54">
        <f>INDEX([1]ACOMPANHAMENTO!H:H,MATCH(A298,[1]ACOMPANHAMENTO!A:A,0))</f>
        <v>45809</v>
      </c>
      <c r="X298" s="11">
        <f t="shared" ca="1" si="4"/>
        <v>-124</v>
      </c>
    </row>
    <row r="299" spans="1:24" x14ac:dyDescent="0.3">
      <c r="A299" s="5">
        <v>339</v>
      </c>
      <c r="B299" s="21">
        <v>112</v>
      </c>
      <c r="C299" s="3" t="s">
        <v>43</v>
      </c>
      <c r="D299" s="4" t="s">
        <v>319</v>
      </c>
      <c r="E299" s="11" t="s">
        <v>2548</v>
      </c>
      <c r="F299" s="18" t="s">
        <v>726</v>
      </c>
      <c r="G299" s="3" t="s">
        <v>137</v>
      </c>
      <c r="H299" s="4" t="s">
        <v>368</v>
      </c>
      <c r="K299" s="8" t="s">
        <v>1086</v>
      </c>
      <c r="S299" t="s">
        <v>1308</v>
      </c>
      <c r="T299" s="11" t="s">
        <v>1307</v>
      </c>
      <c r="U299" s="11" t="s">
        <v>683</v>
      </c>
      <c r="V299" s="11" t="s">
        <v>2617</v>
      </c>
      <c r="W299" s="54">
        <f>INDEX([1]ACOMPANHAMENTO!H:H,MATCH(A299,[1]ACOMPANHAMENTO!A:A,0))</f>
        <v>45901</v>
      </c>
      <c r="X299" s="11">
        <f t="shared" ca="1" si="4"/>
        <v>-32</v>
      </c>
    </row>
    <row r="300" spans="1:24" x14ac:dyDescent="0.3">
      <c r="A300" s="5">
        <v>340</v>
      </c>
      <c r="B300" s="21">
        <v>101</v>
      </c>
      <c r="C300" s="3" t="s">
        <v>125</v>
      </c>
      <c r="D300" s="4" t="s">
        <v>361</v>
      </c>
      <c r="E300" s="11" t="s">
        <v>2827</v>
      </c>
      <c r="F300" s="18" t="s">
        <v>727</v>
      </c>
      <c r="G300" s="3" t="s">
        <v>126</v>
      </c>
      <c r="H300" s="4" t="s">
        <v>127</v>
      </c>
      <c r="K300" s="8" t="s">
        <v>1052</v>
      </c>
      <c r="L300" s="32">
        <v>0.03</v>
      </c>
      <c r="S300" t="s">
        <v>1290</v>
      </c>
      <c r="T300" s="11" t="s">
        <v>1289</v>
      </c>
      <c r="U300" s="11" t="s">
        <v>727</v>
      </c>
      <c r="V300" s="11" t="s">
        <v>3293</v>
      </c>
      <c r="W300" s="54">
        <f>INDEX([1]ACOMPANHAMENTO!H:H,MATCH(A300,[1]ACOMPANHAMENTO!A:A,0))</f>
        <v>45717</v>
      </c>
      <c r="X300" s="11">
        <f t="shared" ca="1" si="4"/>
        <v>-216</v>
      </c>
    </row>
    <row r="301" spans="1:24" x14ac:dyDescent="0.3">
      <c r="A301" s="5">
        <v>341</v>
      </c>
      <c r="B301" s="21">
        <v>47</v>
      </c>
      <c r="C301" s="3" t="s">
        <v>432</v>
      </c>
      <c r="D301" s="4" t="s">
        <v>336</v>
      </c>
      <c r="E301" s="11" t="s">
        <v>2827</v>
      </c>
      <c r="F301" s="18" t="s">
        <v>728</v>
      </c>
      <c r="G301" s="5" t="s">
        <v>71</v>
      </c>
      <c r="H301" s="11" t="s">
        <v>335</v>
      </c>
      <c r="K301" s="8"/>
      <c r="S301" t="s">
        <v>1208</v>
      </c>
      <c r="T301" s="11" t="s">
        <v>1209</v>
      </c>
      <c r="U301" s="11" t="s">
        <v>747</v>
      </c>
      <c r="V301" s="11" t="s">
        <v>3482</v>
      </c>
      <c r="W301" s="54">
        <f>INDEX([1]ACOMPANHAMENTO!H:H,MATCH(A301,[1]ACOMPANHAMENTO!A:A,0))</f>
        <v>45323</v>
      </c>
      <c r="X301" s="11">
        <f t="shared" ca="1" si="4"/>
        <v>-610</v>
      </c>
    </row>
    <row r="302" spans="1:24" x14ac:dyDescent="0.3">
      <c r="A302" s="5">
        <v>342</v>
      </c>
      <c r="B302" s="21">
        <v>177</v>
      </c>
      <c r="C302" s="3" t="s">
        <v>190</v>
      </c>
      <c r="D302" s="4" t="s">
        <v>264</v>
      </c>
      <c r="E302" s="11" t="s">
        <v>2156</v>
      </c>
      <c r="F302" s="18" t="s">
        <v>729</v>
      </c>
      <c r="G302" s="3" t="s">
        <v>191</v>
      </c>
      <c r="H302" s="4" t="s">
        <v>1040</v>
      </c>
      <c r="K302" s="8" t="s">
        <v>1052</v>
      </c>
      <c r="S302" t="s">
        <v>1369</v>
      </c>
      <c r="T302" s="11" t="s">
        <v>1368</v>
      </c>
      <c r="U302" s="11" t="s">
        <v>3633</v>
      </c>
      <c r="V302" s="11" t="s">
        <v>3483</v>
      </c>
      <c r="W302" s="54">
        <f>INDEX([1]ACOMPANHAMENTO!H:H,MATCH(A302,[1]ACOMPANHAMENTO!A:A,0))</f>
        <v>45809</v>
      </c>
      <c r="X302" s="11">
        <f t="shared" ca="1" si="4"/>
        <v>-124</v>
      </c>
    </row>
    <row r="303" spans="1:24" x14ac:dyDescent="0.3">
      <c r="A303" s="5">
        <v>343</v>
      </c>
      <c r="B303" s="21">
        <v>21</v>
      </c>
      <c r="C303" s="3" t="s">
        <v>83</v>
      </c>
      <c r="D303" s="4" t="s">
        <v>343</v>
      </c>
      <c r="E303" s="11" t="s">
        <v>2827</v>
      </c>
      <c r="F303" s="18" t="s">
        <v>730</v>
      </c>
      <c r="G303" s="3" t="s">
        <v>82</v>
      </c>
      <c r="H303" s="4" t="s">
        <v>342</v>
      </c>
      <c r="K303" s="8" t="s">
        <v>1055</v>
      </c>
      <c r="Q303" s="11" t="s">
        <v>1073</v>
      </c>
      <c r="S303" t="s">
        <v>1223</v>
      </c>
      <c r="T303" s="11" t="s">
        <v>1222</v>
      </c>
      <c r="U303" s="11" t="s">
        <v>730</v>
      </c>
      <c r="V303" s="11" t="s">
        <v>2985</v>
      </c>
      <c r="W303" s="54">
        <f>INDEX([1]ACOMPANHAMENTO!H:H,MATCH(A303,[1]ACOMPANHAMENTO!A:A,0))</f>
        <v>46204</v>
      </c>
      <c r="X303" s="11">
        <f t="shared" ca="1" si="4"/>
        <v>271</v>
      </c>
    </row>
    <row r="304" spans="1:24" x14ac:dyDescent="0.3">
      <c r="A304" s="5">
        <v>344</v>
      </c>
      <c r="B304" s="21">
        <v>14</v>
      </c>
      <c r="C304" s="3" t="s">
        <v>16</v>
      </c>
      <c r="D304" s="4" t="s">
        <v>300</v>
      </c>
      <c r="E304" s="11" t="s">
        <v>2827</v>
      </c>
      <c r="F304" s="18" t="s">
        <v>731</v>
      </c>
      <c r="G304" s="3" t="s">
        <v>17</v>
      </c>
      <c r="H304" s="4" t="s">
        <v>301</v>
      </c>
      <c r="K304" s="8" t="s">
        <v>1052</v>
      </c>
      <c r="M304" s="35">
        <v>0.02</v>
      </c>
      <c r="S304" t="s">
        <v>1144</v>
      </c>
      <c r="T304" s="11" t="s">
        <v>1145</v>
      </c>
      <c r="U304" s="11" t="s">
        <v>731</v>
      </c>
      <c r="V304" s="11" t="s">
        <v>3399</v>
      </c>
      <c r="W304" s="54">
        <f>INDEX([1]ACOMPANHAMENTO!H:H,MATCH(A304,[1]ACOMPANHAMENTO!A:A,0))</f>
        <v>45717</v>
      </c>
      <c r="X304" s="11">
        <f t="shared" ca="1" si="4"/>
        <v>-216</v>
      </c>
    </row>
    <row r="305" spans="1:24" x14ac:dyDescent="0.3">
      <c r="A305" s="5">
        <v>345</v>
      </c>
      <c r="B305" s="21">
        <v>251</v>
      </c>
      <c r="C305" s="3" t="s">
        <v>472</v>
      </c>
      <c r="D305" s="4" t="s">
        <v>471</v>
      </c>
      <c r="E305" s="11" t="s">
        <v>2156</v>
      </c>
      <c r="F305" s="18" t="s">
        <v>845</v>
      </c>
      <c r="G305" s="3" t="s">
        <v>169</v>
      </c>
      <c r="H305" s="4" t="s">
        <v>385</v>
      </c>
      <c r="K305" s="8" t="s">
        <v>1052</v>
      </c>
      <c r="S305" t="s">
        <v>1371</v>
      </c>
      <c r="T305" s="11" t="s">
        <v>1370</v>
      </c>
      <c r="U305" s="11" t="s">
        <v>3667</v>
      </c>
      <c r="V305" s="11" t="s">
        <v>3484</v>
      </c>
      <c r="W305" s="54">
        <f>INDEX([1]ACOMPANHAMENTO!H:H,MATCH(A305,[1]ACOMPANHAMENTO!A:A,0))</f>
        <v>45809</v>
      </c>
      <c r="X305" s="11">
        <f t="shared" ca="1" si="4"/>
        <v>-124</v>
      </c>
    </row>
    <row r="306" spans="1:24" x14ac:dyDescent="0.3">
      <c r="A306" s="5">
        <v>346</v>
      </c>
      <c r="B306" s="21">
        <v>161</v>
      </c>
      <c r="C306" s="3" t="s">
        <v>102</v>
      </c>
      <c r="D306" s="4" t="s">
        <v>355</v>
      </c>
      <c r="E306" s="11" t="s">
        <v>2827</v>
      </c>
      <c r="F306" s="18" t="s">
        <v>732</v>
      </c>
      <c r="G306" s="3" t="s">
        <v>77</v>
      </c>
      <c r="H306" s="4" t="s">
        <v>78</v>
      </c>
      <c r="K306" s="8" t="s">
        <v>1055</v>
      </c>
      <c r="M306" s="35">
        <v>0.05</v>
      </c>
      <c r="Q306" s="11" t="s">
        <v>1082</v>
      </c>
      <c r="S306" t="s">
        <v>1280</v>
      </c>
      <c r="T306" s="11" t="s">
        <v>1279</v>
      </c>
      <c r="U306" s="11" t="s">
        <v>601</v>
      </c>
      <c r="V306" s="11" t="s">
        <v>2986</v>
      </c>
      <c r="W306" s="54">
        <f>INDEX([1]ACOMPANHAMENTO!H:H,MATCH(A306,[1]ACOMPANHAMENTO!A:A,0))</f>
        <v>45778</v>
      </c>
      <c r="X306" s="11">
        <f t="shared" ca="1" si="4"/>
        <v>-155</v>
      </c>
    </row>
    <row r="307" spans="1:24" x14ac:dyDescent="0.3">
      <c r="A307" s="5">
        <v>347</v>
      </c>
      <c r="B307" s="21">
        <v>38</v>
      </c>
      <c r="C307" s="3" t="s">
        <v>45</v>
      </c>
      <c r="D307" s="4" t="s">
        <v>321</v>
      </c>
      <c r="E307" s="11" t="s">
        <v>2827</v>
      </c>
      <c r="F307" s="18" t="s">
        <v>733</v>
      </c>
      <c r="G307" s="3" t="s">
        <v>44</v>
      </c>
      <c r="H307" s="4" t="s">
        <v>320</v>
      </c>
      <c r="K307" s="8" t="s">
        <v>1063</v>
      </c>
      <c r="M307" s="35">
        <v>0.04</v>
      </c>
      <c r="S307" t="s">
        <v>1182</v>
      </c>
      <c r="T307" s="11" t="s">
        <v>1183</v>
      </c>
      <c r="U307" s="11" t="s">
        <v>3609</v>
      </c>
      <c r="V307" s="11" t="s">
        <v>3190</v>
      </c>
      <c r="W307" s="54">
        <f>INDEX([1]ACOMPANHAMENTO!H:H,MATCH(A307,[1]ACOMPANHAMENTO!A:A,0))</f>
        <v>46082</v>
      </c>
      <c r="X307" s="11">
        <f t="shared" ca="1" si="4"/>
        <v>149</v>
      </c>
    </row>
    <row r="308" spans="1:24" x14ac:dyDescent="0.3">
      <c r="A308" s="5">
        <v>348</v>
      </c>
      <c r="B308" s="21">
        <v>32</v>
      </c>
      <c r="C308" s="3" t="s">
        <v>52</v>
      </c>
      <c r="D308" s="4" t="s">
        <v>327</v>
      </c>
      <c r="E308" s="11" t="s">
        <v>2827</v>
      </c>
      <c r="F308" s="18" t="s">
        <v>734</v>
      </c>
      <c r="G308" s="3" t="s">
        <v>51</v>
      </c>
      <c r="H308" s="4" t="s">
        <v>134</v>
      </c>
      <c r="K308" s="8" t="s">
        <v>1051</v>
      </c>
      <c r="S308" t="s">
        <v>1489</v>
      </c>
      <c r="T308" s="11" t="s">
        <v>1191</v>
      </c>
      <c r="U308" s="11" t="s">
        <v>734</v>
      </c>
      <c r="V308" s="11" t="s">
        <v>3415</v>
      </c>
      <c r="W308" s="54">
        <f>INDEX([1]ACOMPANHAMENTO!H:H,MATCH(A308,[1]ACOMPANHAMENTO!A:A,0))</f>
        <v>45717</v>
      </c>
      <c r="X308" s="11">
        <f t="shared" ca="1" si="4"/>
        <v>-216</v>
      </c>
    </row>
    <row r="309" spans="1:24" x14ac:dyDescent="0.3">
      <c r="A309" s="5">
        <v>349</v>
      </c>
      <c r="B309" s="21">
        <v>20</v>
      </c>
      <c r="C309" s="3" t="s">
        <v>79</v>
      </c>
      <c r="D309" s="4" t="s">
        <v>341</v>
      </c>
      <c r="E309" s="11" t="s">
        <v>2827</v>
      </c>
      <c r="F309" s="18" t="s">
        <v>735</v>
      </c>
      <c r="G309" s="3" t="s">
        <v>80</v>
      </c>
      <c r="H309" s="4" t="s">
        <v>81</v>
      </c>
      <c r="K309" s="8" t="s">
        <v>1052</v>
      </c>
      <c r="M309" s="35">
        <v>0.03</v>
      </c>
      <c r="S309" t="s">
        <v>1493</v>
      </c>
      <c r="T309" s="11" t="s">
        <v>1221</v>
      </c>
      <c r="U309" s="11" t="s">
        <v>579</v>
      </c>
      <c r="V309" s="11" t="s">
        <v>3424</v>
      </c>
      <c r="W309" s="54">
        <f>INDEX([1]ACOMPANHAMENTO!H:H,MATCH(A309,[1]ACOMPANHAMENTO!A:A,0))</f>
        <v>45352</v>
      </c>
      <c r="X309" s="11">
        <f t="shared" ca="1" si="4"/>
        <v>-581</v>
      </c>
    </row>
    <row r="310" spans="1:24" x14ac:dyDescent="0.3">
      <c r="A310" s="5">
        <v>350</v>
      </c>
      <c r="B310" s="21">
        <v>130</v>
      </c>
      <c r="C310" s="3" t="s">
        <v>149</v>
      </c>
      <c r="D310" s="4" t="s">
        <v>176</v>
      </c>
      <c r="E310" s="11" t="s">
        <v>2156</v>
      </c>
      <c r="F310" s="18" t="s">
        <v>736</v>
      </c>
      <c r="G310" s="3" t="s">
        <v>169</v>
      </c>
      <c r="H310" s="4" t="s">
        <v>385</v>
      </c>
      <c r="K310" s="8" t="s">
        <v>1052</v>
      </c>
      <c r="S310" t="s">
        <v>1332</v>
      </c>
      <c r="T310" s="11" t="s">
        <v>1331</v>
      </c>
      <c r="U310" s="11" t="s">
        <v>716</v>
      </c>
      <c r="V310" s="11" t="s">
        <v>2448</v>
      </c>
      <c r="W310" s="54">
        <f>INDEX([1]ACOMPANHAMENTO!H:H,MATCH(A310,[1]ACOMPANHAMENTO!A:A,0))</f>
        <v>45809</v>
      </c>
      <c r="X310" s="11">
        <f t="shared" ca="1" si="4"/>
        <v>-124</v>
      </c>
    </row>
    <row r="311" spans="1:24" x14ac:dyDescent="0.3">
      <c r="A311" s="5">
        <v>351</v>
      </c>
      <c r="B311" s="21">
        <v>178</v>
      </c>
      <c r="C311" s="3" t="s">
        <v>102</v>
      </c>
      <c r="D311" s="4" t="s">
        <v>355</v>
      </c>
      <c r="E311" s="11" t="s">
        <v>2827</v>
      </c>
      <c r="F311" s="18" t="s">
        <v>737</v>
      </c>
      <c r="G311" s="3" t="s">
        <v>97</v>
      </c>
      <c r="H311" s="4" t="s">
        <v>99</v>
      </c>
      <c r="K311" s="8" t="s">
        <v>1052</v>
      </c>
      <c r="M311" s="35">
        <v>0.05</v>
      </c>
      <c r="Q311" s="11" t="s">
        <v>1082</v>
      </c>
      <c r="S311" t="s">
        <v>1372</v>
      </c>
      <c r="T311" s="11" t="s">
        <v>1373</v>
      </c>
      <c r="U311" s="11" t="s">
        <v>601</v>
      </c>
      <c r="V311" s="11" t="s">
        <v>3189</v>
      </c>
      <c r="W311" s="54">
        <f>INDEX([1]ACOMPANHAMENTO!H:H,MATCH(A311,[1]ACOMPANHAMENTO!A:A,0))</f>
        <v>45778</v>
      </c>
      <c r="X311" s="11">
        <f t="shared" ca="1" si="4"/>
        <v>-155</v>
      </c>
    </row>
    <row r="312" spans="1:24" x14ac:dyDescent="0.3">
      <c r="A312" s="5">
        <v>352</v>
      </c>
      <c r="B312" s="21">
        <v>135</v>
      </c>
      <c r="C312" s="5" t="s">
        <v>174</v>
      </c>
      <c r="D312" s="11" t="s">
        <v>175</v>
      </c>
      <c r="E312" s="11" t="s">
        <v>2548</v>
      </c>
      <c r="F312" s="18" t="s">
        <v>738</v>
      </c>
      <c r="G312" s="3" t="s">
        <v>172</v>
      </c>
      <c r="H312" s="4" t="s">
        <v>498</v>
      </c>
      <c r="K312" s="8" t="s">
        <v>1101</v>
      </c>
      <c r="S312" t="s">
        <v>1374</v>
      </c>
      <c r="T312" s="11" t="s">
        <v>1375</v>
      </c>
      <c r="U312" s="11" t="s">
        <v>664</v>
      </c>
      <c r="V312" s="11" t="s">
        <v>3485</v>
      </c>
      <c r="W312" s="54">
        <f>INDEX([1]ACOMPANHAMENTO!H:H,MATCH(A312,[1]ACOMPANHAMENTO!A:A,0))</f>
        <v>45962</v>
      </c>
      <c r="X312" s="11">
        <f t="shared" ca="1" si="4"/>
        <v>29</v>
      </c>
    </row>
    <row r="313" spans="1:24" x14ac:dyDescent="0.3">
      <c r="A313" s="5">
        <v>353</v>
      </c>
      <c r="B313" s="21">
        <v>148</v>
      </c>
      <c r="C313" s="3" t="s">
        <v>193</v>
      </c>
      <c r="D313" s="4" t="s">
        <v>396</v>
      </c>
      <c r="E313" s="11" t="s">
        <v>2156</v>
      </c>
      <c r="F313" s="18" t="s">
        <v>739</v>
      </c>
      <c r="G313" s="3" t="s">
        <v>192</v>
      </c>
      <c r="H313" s="4" t="s">
        <v>395</v>
      </c>
      <c r="K313" s="8" t="s">
        <v>1090</v>
      </c>
      <c r="S313" t="s">
        <v>1376</v>
      </c>
      <c r="T313" s="11" t="s">
        <v>1496</v>
      </c>
      <c r="U313" s="11" t="s">
        <v>667</v>
      </c>
      <c r="V313" s="11" t="s">
        <v>3486</v>
      </c>
      <c r="W313" s="54">
        <f>INDEX([1]ACOMPANHAMENTO!H:H,MATCH(A313,[1]ACOMPANHAMENTO!A:A,0))</f>
        <v>45809</v>
      </c>
      <c r="X313" s="11">
        <f t="shared" ca="1" si="4"/>
        <v>-124</v>
      </c>
    </row>
    <row r="314" spans="1:24" x14ac:dyDescent="0.3">
      <c r="A314" s="5">
        <v>354</v>
      </c>
      <c r="B314" s="21">
        <v>148</v>
      </c>
      <c r="C314" s="3" t="s">
        <v>193</v>
      </c>
      <c r="D314" s="4" t="s">
        <v>396</v>
      </c>
      <c r="E314" s="11" t="s">
        <v>2156</v>
      </c>
      <c r="F314" s="18" t="s">
        <v>740</v>
      </c>
      <c r="G314" s="3" t="s">
        <v>192</v>
      </c>
      <c r="H314" s="4" t="s">
        <v>395</v>
      </c>
      <c r="K314" s="8" t="s">
        <v>1090</v>
      </c>
      <c r="S314" t="s">
        <v>1376</v>
      </c>
      <c r="T314" s="11" t="s">
        <v>1496</v>
      </c>
      <c r="U314" s="11" t="s">
        <v>667</v>
      </c>
      <c r="V314" s="11" t="s">
        <v>3487</v>
      </c>
      <c r="W314" s="54">
        <f>INDEX([1]ACOMPANHAMENTO!H:H,MATCH(A314,[1]ACOMPANHAMENTO!A:A,0))</f>
        <v>45809</v>
      </c>
      <c r="X314" s="11">
        <f t="shared" ca="1" si="4"/>
        <v>-124</v>
      </c>
    </row>
    <row r="315" spans="1:24" x14ac:dyDescent="0.3">
      <c r="A315" s="5">
        <v>355</v>
      </c>
      <c r="B315" s="21">
        <v>79</v>
      </c>
      <c r="C315" s="3" t="s">
        <v>107</v>
      </c>
      <c r="D315" s="4" t="s">
        <v>108</v>
      </c>
      <c r="E315" s="11" t="s">
        <v>2827</v>
      </c>
      <c r="F315" s="18" t="s">
        <v>741</v>
      </c>
      <c r="G315" s="3" t="s">
        <v>87</v>
      </c>
      <c r="H315" s="4" t="s">
        <v>449</v>
      </c>
      <c r="K315" s="8" t="s">
        <v>1065</v>
      </c>
      <c r="S315" t="s">
        <v>1260</v>
      </c>
      <c r="T315" s="11" t="s">
        <v>1259</v>
      </c>
      <c r="U315" s="11" t="s">
        <v>3619</v>
      </c>
      <c r="V315" s="11" t="s">
        <v>3488</v>
      </c>
      <c r="W315" s="54">
        <f>INDEX([1]ACOMPANHAMENTO!H:H,MATCH(A315,[1]ACOMPANHAMENTO!A:A,0))</f>
        <v>46082</v>
      </c>
      <c r="X315" s="11">
        <f t="shared" ca="1" si="4"/>
        <v>149</v>
      </c>
    </row>
    <row r="316" spans="1:24" x14ac:dyDescent="0.3">
      <c r="A316" s="5">
        <v>356</v>
      </c>
      <c r="B316" s="21">
        <v>130</v>
      </c>
      <c r="C316" s="3" t="s">
        <v>149</v>
      </c>
      <c r="D316" s="4" t="s">
        <v>176</v>
      </c>
      <c r="E316" s="11" t="s">
        <v>2156</v>
      </c>
      <c r="F316" s="18" t="s">
        <v>742</v>
      </c>
      <c r="G316" s="3" t="s">
        <v>169</v>
      </c>
      <c r="H316" s="4" t="s">
        <v>385</v>
      </c>
      <c r="K316" s="8" t="s">
        <v>1052</v>
      </c>
      <c r="S316" t="s">
        <v>1332</v>
      </c>
      <c r="T316" s="11" t="s">
        <v>1331</v>
      </c>
      <c r="U316" s="11" t="s">
        <v>716</v>
      </c>
      <c r="V316" s="11" t="s">
        <v>2365</v>
      </c>
      <c r="W316" s="54">
        <f>INDEX([1]ACOMPANHAMENTO!H:H,MATCH(A316,[1]ACOMPANHAMENTO!A:A,0))</f>
        <v>45809</v>
      </c>
      <c r="X316" s="11">
        <f t="shared" ca="1" si="4"/>
        <v>-124</v>
      </c>
    </row>
    <row r="317" spans="1:24" x14ac:dyDescent="0.3">
      <c r="A317" s="5">
        <v>357</v>
      </c>
      <c r="B317" s="21">
        <v>130</v>
      </c>
      <c r="C317" s="3" t="s">
        <v>149</v>
      </c>
      <c r="D317" s="4" t="s">
        <v>176</v>
      </c>
      <c r="E317" s="11" t="s">
        <v>2156</v>
      </c>
      <c r="F317" s="18" t="s">
        <v>743</v>
      </c>
      <c r="G317" s="3" t="s">
        <v>169</v>
      </c>
      <c r="H317" s="4" t="s">
        <v>385</v>
      </c>
      <c r="K317" s="8" t="s">
        <v>1052</v>
      </c>
      <c r="S317" t="s">
        <v>1332</v>
      </c>
      <c r="T317" s="11" t="s">
        <v>1331</v>
      </c>
      <c r="U317" s="11" t="s">
        <v>716</v>
      </c>
      <c r="V317" s="11" t="s">
        <v>2254</v>
      </c>
      <c r="W317" s="54">
        <f>INDEX([1]ACOMPANHAMENTO!H:H,MATCH(A317,[1]ACOMPANHAMENTO!A:A,0))</f>
        <v>45809</v>
      </c>
      <c r="X317" s="11">
        <f t="shared" ca="1" si="4"/>
        <v>-124</v>
      </c>
    </row>
    <row r="318" spans="1:24" x14ac:dyDescent="0.3">
      <c r="A318" s="5">
        <v>358</v>
      </c>
      <c r="B318" s="21">
        <v>202</v>
      </c>
      <c r="C318" s="3" t="s">
        <v>72</v>
      </c>
      <c r="D318" s="4" t="s">
        <v>336</v>
      </c>
      <c r="E318" s="11" t="s">
        <v>2827</v>
      </c>
      <c r="F318" s="18" t="s">
        <v>744</v>
      </c>
      <c r="G318" s="3" t="s">
        <v>90</v>
      </c>
      <c r="H318" s="4" t="s">
        <v>348</v>
      </c>
      <c r="K318" s="8"/>
      <c r="S318" t="s">
        <v>1378</v>
      </c>
      <c r="T318" s="11" t="s">
        <v>1377</v>
      </c>
      <c r="U318" s="11" t="s">
        <v>747</v>
      </c>
      <c r="V318" s="11" t="s">
        <v>3391</v>
      </c>
      <c r="W318" s="54">
        <f>INDEX([1]ACOMPANHAMENTO!H:H,MATCH(A318,[1]ACOMPANHAMENTO!A:A,0))</f>
        <v>45717</v>
      </c>
      <c r="X318" s="11">
        <f t="shared" ca="1" si="4"/>
        <v>-216</v>
      </c>
    </row>
    <row r="319" spans="1:24" x14ac:dyDescent="0.3">
      <c r="A319" s="5">
        <v>359</v>
      </c>
      <c r="B319" s="21">
        <v>133</v>
      </c>
      <c r="C319" s="3" t="s">
        <v>168</v>
      </c>
      <c r="D319" s="4" t="s">
        <v>384</v>
      </c>
      <c r="E319" s="11" t="s">
        <v>2548</v>
      </c>
      <c r="F319" s="18" t="s">
        <v>745</v>
      </c>
      <c r="G319" s="3" t="s">
        <v>167</v>
      </c>
      <c r="H319" s="4" t="s">
        <v>383</v>
      </c>
      <c r="K319" s="8" t="s">
        <v>1051</v>
      </c>
      <c r="S319" t="s">
        <v>1329</v>
      </c>
      <c r="T319" s="11" t="s">
        <v>1330</v>
      </c>
      <c r="U319" s="11" t="s">
        <v>745</v>
      </c>
      <c r="V319" s="11" t="s">
        <v>2685</v>
      </c>
      <c r="W319" s="54">
        <f>INDEX([1]ACOMPANHAMENTO!H:H,MATCH(A319,[1]ACOMPANHAMENTO!A:A,0))</f>
        <v>46143</v>
      </c>
      <c r="X319" s="11">
        <f t="shared" ca="1" si="4"/>
        <v>210</v>
      </c>
    </row>
    <row r="320" spans="1:24" x14ac:dyDescent="0.3">
      <c r="A320" s="5">
        <v>360</v>
      </c>
      <c r="B320" s="21">
        <v>33</v>
      </c>
      <c r="C320" s="3" t="s">
        <v>92</v>
      </c>
      <c r="D320" s="4" t="s">
        <v>350</v>
      </c>
      <c r="E320" s="11" t="s">
        <v>2827</v>
      </c>
      <c r="F320" s="18" t="s">
        <v>746</v>
      </c>
      <c r="G320" s="3" t="s">
        <v>51</v>
      </c>
      <c r="H320" s="4" t="s">
        <v>134</v>
      </c>
      <c r="K320" s="8" t="s">
        <v>1067</v>
      </c>
      <c r="M320" s="35">
        <v>0.06</v>
      </c>
      <c r="S320" t="s">
        <v>1238</v>
      </c>
      <c r="T320" s="11" t="s">
        <v>1237</v>
      </c>
      <c r="U320" s="11" t="s">
        <v>746</v>
      </c>
      <c r="V320" s="11" t="s">
        <v>2904</v>
      </c>
      <c r="W320" s="54">
        <f>INDEX([1]ACOMPANHAMENTO!H:H,MATCH(A320,[1]ACOMPANHAMENTO!A:A,0))</f>
        <v>45962</v>
      </c>
      <c r="X320" s="11">
        <f t="shared" ca="1" si="4"/>
        <v>29</v>
      </c>
    </row>
    <row r="321" spans="1:24" x14ac:dyDescent="0.3">
      <c r="A321" s="5">
        <v>361</v>
      </c>
      <c r="B321" s="21">
        <v>47</v>
      </c>
      <c r="C321" s="3" t="s">
        <v>432</v>
      </c>
      <c r="D321" s="4" t="s">
        <v>336</v>
      </c>
      <c r="E321" s="11" t="s">
        <v>2827</v>
      </c>
      <c r="F321" s="18" t="s">
        <v>747</v>
      </c>
      <c r="G321" s="5" t="s">
        <v>71</v>
      </c>
      <c r="H321" s="11" t="s">
        <v>335</v>
      </c>
      <c r="K321" s="8"/>
      <c r="S321" t="s">
        <v>1208</v>
      </c>
      <c r="T321" s="11" t="s">
        <v>1209</v>
      </c>
      <c r="U321" s="11" t="s">
        <v>747</v>
      </c>
      <c r="V321" s="11" t="s">
        <v>3165</v>
      </c>
      <c r="W321" s="54">
        <f>INDEX([1]ACOMPANHAMENTO!H:H,MATCH(A321,[1]ACOMPANHAMENTO!A:A,0))</f>
        <v>45323</v>
      </c>
      <c r="X321" s="11">
        <f t="shared" ca="1" si="4"/>
        <v>-610</v>
      </c>
    </row>
    <row r="322" spans="1:24" x14ac:dyDescent="0.3">
      <c r="A322" s="5">
        <v>362</v>
      </c>
      <c r="B322" s="21">
        <v>127</v>
      </c>
      <c r="C322" s="3" t="s">
        <v>159</v>
      </c>
      <c r="D322" s="4" t="s">
        <v>160</v>
      </c>
      <c r="E322" s="11" t="s">
        <v>1510</v>
      </c>
      <c r="F322" s="18" t="s">
        <v>748</v>
      </c>
      <c r="G322" s="3" t="s">
        <v>158</v>
      </c>
      <c r="H322" s="4" t="s">
        <v>380</v>
      </c>
      <c r="K322" s="8" t="s">
        <v>1090</v>
      </c>
      <c r="S322" t="s">
        <v>1326</v>
      </c>
      <c r="T322" s="11" t="s">
        <v>1320</v>
      </c>
      <c r="U322" s="11" t="s">
        <v>819</v>
      </c>
      <c r="V322" s="11" t="s">
        <v>3489</v>
      </c>
      <c r="W322" s="54">
        <f>INDEX([1]ACOMPANHAMENTO!H:H,MATCH(A322,[1]ACOMPANHAMENTO!A:A,0))</f>
        <v>45809</v>
      </c>
      <c r="X322" s="11">
        <f t="shared" ca="1" si="4"/>
        <v>-124</v>
      </c>
    </row>
    <row r="323" spans="1:24" x14ac:dyDescent="0.3">
      <c r="A323" s="5">
        <v>363</v>
      </c>
      <c r="B323" s="21">
        <v>131</v>
      </c>
      <c r="C323" s="5" t="s">
        <v>171</v>
      </c>
      <c r="D323" s="11" t="s">
        <v>387</v>
      </c>
      <c r="E323" s="11" t="s">
        <v>2548</v>
      </c>
      <c r="F323" s="18" t="s">
        <v>749</v>
      </c>
      <c r="G323" s="3" t="s">
        <v>170</v>
      </c>
      <c r="H323" s="4" t="s">
        <v>437</v>
      </c>
      <c r="K323" s="8" t="s">
        <v>1094</v>
      </c>
      <c r="S323" t="s">
        <v>1335</v>
      </c>
      <c r="T323" s="11" t="s">
        <v>1331</v>
      </c>
      <c r="U323" s="11" t="s">
        <v>663</v>
      </c>
      <c r="V323" s="11" t="s">
        <v>2725</v>
      </c>
      <c r="W323" s="54">
        <f>INDEX([1]ACOMPANHAMENTO!H:H,MATCH(A323,[1]ACOMPANHAMENTO!A:A,0))</f>
        <v>45778</v>
      </c>
      <c r="X323" s="11">
        <f t="shared" ref="X323:X386" ca="1" si="5">W323-TODAY()</f>
        <v>-155</v>
      </c>
    </row>
    <row r="324" spans="1:24" x14ac:dyDescent="0.3">
      <c r="A324" s="5">
        <v>364</v>
      </c>
      <c r="B324" s="21">
        <v>226</v>
      </c>
      <c r="C324" s="3" t="s">
        <v>31</v>
      </c>
      <c r="D324" s="4" t="s">
        <v>32</v>
      </c>
      <c r="E324" s="11" t="s">
        <v>2827</v>
      </c>
      <c r="F324" s="18" t="s">
        <v>750</v>
      </c>
      <c r="G324" s="3" t="s">
        <v>3</v>
      </c>
      <c r="H324" s="4" t="s">
        <v>7</v>
      </c>
      <c r="K324" s="8" t="s">
        <v>1055</v>
      </c>
      <c r="S324" t="s">
        <v>1316</v>
      </c>
      <c r="T324" s="11" t="s">
        <v>1315</v>
      </c>
      <c r="U324" s="11" t="s">
        <v>557</v>
      </c>
      <c r="V324" s="11" t="s">
        <v>2840</v>
      </c>
      <c r="W324" s="54">
        <f>INDEX([1]ACOMPANHAMENTO!H:H,MATCH(A324,[1]ACOMPANHAMENTO!A:A,0))</f>
        <v>45717</v>
      </c>
      <c r="X324" s="11">
        <f t="shared" ca="1" si="5"/>
        <v>-216</v>
      </c>
    </row>
    <row r="325" spans="1:24" x14ac:dyDescent="0.3">
      <c r="A325" s="5">
        <v>365</v>
      </c>
      <c r="B325" s="21">
        <v>167</v>
      </c>
      <c r="C325" s="3" t="s">
        <v>183</v>
      </c>
      <c r="D325" s="4" t="s">
        <v>260</v>
      </c>
      <c r="E325" s="11" t="s">
        <v>2548</v>
      </c>
      <c r="F325" s="18" t="s">
        <v>751</v>
      </c>
      <c r="G325" s="3" t="s">
        <v>182</v>
      </c>
      <c r="H325" s="4" t="s">
        <v>259</v>
      </c>
      <c r="K325" s="8" t="s">
        <v>1085</v>
      </c>
      <c r="S325" t="s">
        <v>1346</v>
      </c>
      <c r="T325" s="11" t="s">
        <v>1347</v>
      </c>
      <c r="U325" s="11" t="s">
        <v>3630</v>
      </c>
      <c r="V325" s="11" t="s">
        <v>2744</v>
      </c>
      <c r="W325" s="54">
        <f>INDEX([1]ACOMPANHAMENTO!H:H,MATCH(A325,[1]ACOMPANHAMENTO!A:A,0))</f>
        <v>45778</v>
      </c>
      <c r="X325" s="11">
        <f t="shared" ca="1" si="5"/>
        <v>-155</v>
      </c>
    </row>
    <row r="326" spans="1:24" x14ac:dyDescent="0.3">
      <c r="A326" s="5">
        <v>366</v>
      </c>
      <c r="B326" s="21">
        <v>2</v>
      </c>
      <c r="C326" s="3" t="s">
        <v>9</v>
      </c>
      <c r="D326" s="4" t="s">
        <v>295</v>
      </c>
      <c r="E326" s="11" t="s">
        <v>2827</v>
      </c>
      <c r="F326" s="18" t="s">
        <v>752</v>
      </c>
      <c r="G326" s="3" t="s">
        <v>8</v>
      </c>
      <c r="H326" s="4" t="s">
        <v>294</v>
      </c>
      <c r="K326" s="8" t="s">
        <v>1052</v>
      </c>
      <c r="M326" s="35">
        <v>4.4999999999999998E-2</v>
      </c>
      <c r="S326" t="s">
        <v>1139</v>
      </c>
      <c r="T326" s="11" t="s">
        <v>1140</v>
      </c>
      <c r="U326" s="11" t="s">
        <v>3587</v>
      </c>
      <c r="V326" s="11" t="s">
        <v>3490</v>
      </c>
      <c r="W326" s="54">
        <f>INDEX([1]ACOMPANHAMENTO!H:H,MATCH(A326,[1]ACOMPANHAMENTO!A:A,0))</f>
        <v>45689</v>
      </c>
      <c r="X326" s="11">
        <f t="shared" ca="1" si="5"/>
        <v>-244</v>
      </c>
    </row>
    <row r="327" spans="1:24" x14ac:dyDescent="0.3">
      <c r="A327" s="5">
        <v>367</v>
      </c>
      <c r="B327" s="21">
        <v>148</v>
      </c>
      <c r="C327" s="3" t="s">
        <v>193</v>
      </c>
      <c r="D327" s="4" t="s">
        <v>396</v>
      </c>
      <c r="E327" s="11" t="s">
        <v>2156</v>
      </c>
      <c r="F327" s="18" t="s">
        <v>753</v>
      </c>
      <c r="G327" s="3" t="s">
        <v>192</v>
      </c>
      <c r="H327" s="4" t="s">
        <v>395</v>
      </c>
      <c r="K327" s="8" t="s">
        <v>1090</v>
      </c>
      <c r="S327" t="s">
        <v>1376</v>
      </c>
      <c r="T327" s="11" t="s">
        <v>1496</v>
      </c>
      <c r="U327" s="11" t="s">
        <v>667</v>
      </c>
      <c r="V327" s="11" t="s">
        <v>2354</v>
      </c>
      <c r="W327" s="54">
        <f>INDEX([1]ACOMPANHAMENTO!H:H,MATCH(A327,[1]ACOMPANHAMENTO!A:A,0))</f>
        <v>45809</v>
      </c>
      <c r="X327" s="11">
        <f t="shared" ca="1" si="5"/>
        <v>-124</v>
      </c>
    </row>
    <row r="328" spans="1:24" x14ac:dyDescent="0.3">
      <c r="A328" s="5">
        <v>368</v>
      </c>
      <c r="B328" s="21">
        <v>122</v>
      </c>
      <c r="C328" s="3" t="s">
        <v>149</v>
      </c>
      <c r="D328" s="4" t="s">
        <v>176</v>
      </c>
      <c r="E328" s="11" t="s">
        <v>2156</v>
      </c>
      <c r="F328" s="18" t="s">
        <v>754</v>
      </c>
      <c r="G328" s="3" t="s">
        <v>148</v>
      </c>
      <c r="H328" s="4" t="s">
        <v>375</v>
      </c>
      <c r="K328" s="8" t="s">
        <v>1052</v>
      </c>
      <c r="S328" t="s">
        <v>1319</v>
      </c>
      <c r="T328" s="11" t="s">
        <v>1320</v>
      </c>
      <c r="U328" s="11" t="s">
        <v>716</v>
      </c>
      <c r="V328" s="11" t="s">
        <v>3491</v>
      </c>
      <c r="W328" s="54">
        <f>INDEX([1]ACOMPANHAMENTO!H:H,MATCH(A328,[1]ACOMPANHAMENTO!A:A,0))</f>
        <v>45809</v>
      </c>
      <c r="X328" s="11">
        <f t="shared" ca="1" si="5"/>
        <v>-124</v>
      </c>
    </row>
    <row r="329" spans="1:24" x14ac:dyDescent="0.3">
      <c r="A329" s="5">
        <v>369</v>
      </c>
      <c r="B329" s="21">
        <v>167</v>
      </c>
      <c r="C329" s="3" t="s">
        <v>183</v>
      </c>
      <c r="D329" s="4" t="s">
        <v>260</v>
      </c>
      <c r="E329" s="11" t="s">
        <v>2548</v>
      </c>
      <c r="F329" s="18" t="s">
        <v>755</v>
      </c>
      <c r="G329" s="3" t="s">
        <v>182</v>
      </c>
      <c r="H329" s="4" t="s">
        <v>259</v>
      </c>
      <c r="K329" s="8" t="s">
        <v>1085</v>
      </c>
      <c r="S329" t="s">
        <v>1346</v>
      </c>
      <c r="T329" s="11" t="s">
        <v>1347</v>
      </c>
      <c r="U329" s="11" t="s">
        <v>3630</v>
      </c>
      <c r="V329" s="11" t="s">
        <v>2754</v>
      </c>
      <c r="W329" s="54">
        <f>INDEX([1]ACOMPANHAMENTO!H:H,MATCH(A329,[1]ACOMPANHAMENTO!A:A,0))</f>
        <v>45778</v>
      </c>
      <c r="X329" s="11">
        <f t="shared" ca="1" si="5"/>
        <v>-155</v>
      </c>
    </row>
    <row r="330" spans="1:24" x14ac:dyDescent="0.3">
      <c r="A330" s="5">
        <v>370</v>
      </c>
      <c r="B330" s="21">
        <v>130</v>
      </c>
      <c r="C330" s="3" t="s">
        <v>149</v>
      </c>
      <c r="D330" s="4" t="s">
        <v>176</v>
      </c>
      <c r="E330" s="11" t="s">
        <v>2156</v>
      </c>
      <c r="F330" s="18" t="s">
        <v>756</v>
      </c>
      <c r="G330" s="3" t="s">
        <v>169</v>
      </c>
      <c r="H330" s="4" t="s">
        <v>385</v>
      </c>
      <c r="K330" s="8" t="s">
        <v>1052</v>
      </c>
      <c r="S330" t="s">
        <v>1332</v>
      </c>
      <c r="T330" s="11" t="s">
        <v>1331</v>
      </c>
      <c r="U330" s="11" t="s">
        <v>716</v>
      </c>
      <c r="V330" s="11" t="s">
        <v>2468</v>
      </c>
      <c r="W330" s="54">
        <f>INDEX([1]ACOMPANHAMENTO!H:H,MATCH(A330,[1]ACOMPANHAMENTO!A:A,0))</f>
        <v>45809</v>
      </c>
      <c r="X330" s="11">
        <f t="shared" ca="1" si="5"/>
        <v>-124</v>
      </c>
    </row>
    <row r="331" spans="1:24" x14ac:dyDescent="0.3">
      <c r="A331" s="5">
        <v>371</v>
      </c>
      <c r="B331" s="21">
        <v>226</v>
      </c>
      <c r="C331" s="3" t="s">
        <v>31</v>
      </c>
      <c r="D331" s="4" t="s">
        <v>32</v>
      </c>
      <c r="E331" s="11" t="s">
        <v>2827</v>
      </c>
      <c r="F331" s="18" t="s">
        <v>757</v>
      </c>
      <c r="G331" s="3" t="s">
        <v>3</v>
      </c>
      <c r="H331" s="4" t="s">
        <v>7</v>
      </c>
      <c r="K331" s="8" t="s">
        <v>1055</v>
      </c>
      <c r="S331" t="s">
        <v>1316</v>
      </c>
      <c r="T331" s="11" t="s">
        <v>1315</v>
      </c>
      <c r="U331" s="11" t="s">
        <v>557</v>
      </c>
      <c r="V331" s="11" t="s">
        <v>3118</v>
      </c>
      <c r="W331" s="54">
        <f>INDEX([1]ACOMPANHAMENTO!H:H,MATCH(A331,[1]ACOMPANHAMENTO!A:A,0))</f>
        <v>45717</v>
      </c>
      <c r="X331" s="11">
        <f t="shared" ca="1" si="5"/>
        <v>-216</v>
      </c>
    </row>
    <row r="332" spans="1:24" x14ac:dyDescent="0.3">
      <c r="A332" s="5">
        <v>372</v>
      </c>
      <c r="B332" s="21">
        <v>252</v>
      </c>
      <c r="C332" s="3" t="s">
        <v>194</v>
      </c>
      <c r="D332" s="4" t="s">
        <v>265</v>
      </c>
      <c r="E332" s="11" t="s">
        <v>2156</v>
      </c>
      <c r="F332" s="18" t="s">
        <v>758</v>
      </c>
      <c r="G332" s="3" t="s">
        <v>158</v>
      </c>
      <c r="H332" s="4" t="s">
        <v>380</v>
      </c>
      <c r="K332" s="8" t="s">
        <v>1090</v>
      </c>
      <c r="S332" t="s">
        <v>1380</v>
      </c>
      <c r="T332" s="11" t="s">
        <v>1379</v>
      </c>
      <c r="U332" s="11" t="s">
        <v>3634</v>
      </c>
      <c r="V332" s="11" t="s">
        <v>3492</v>
      </c>
      <c r="W332" s="54">
        <f>INDEX([1]ACOMPANHAMENTO!H:H,MATCH(A332,[1]ACOMPANHAMENTO!A:A,0))</f>
        <v>45809</v>
      </c>
      <c r="X332" s="11">
        <f t="shared" ca="1" si="5"/>
        <v>-124</v>
      </c>
    </row>
    <row r="333" spans="1:24" x14ac:dyDescent="0.3">
      <c r="A333" s="5">
        <v>373</v>
      </c>
      <c r="B333" s="21">
        <v>96</v>
      </c>
      <c r="C333" s="3" t="s">
        <v>112</v>
      </c>
      <c r="D333" s="4" t="s">
        <v>357</v>
      </c>
      <c r="E333" s="11" t="s">
        <v>2827</v>
      </c>
      <c r="F333" s="18" t="s">
        <v>759</v>
      </c>
      <c r="G333" s="3" t="s">
        <v>96</v>
      </c>
      <c r="H333" s="4" t="s">
        <v>103</v>
      </c>
      <c r="K333" s="8" t="s">
        <v>1052</v>
      </c>
      <c r="M333" s="35">
        <v>0.02</v>
      </c>
      <c r="S333" t="s">
        <v>1242</v>
      </c>
      <c r="T333" s="11" t="s">
        <v>1265</v>
      </c>
      <c r="U333" s="11" t="s">
        <v>598</v>
      </c>
      <c r="V333" s="11" t="s">
        <v>2848</v>
      </c>
      <c r="W333" s="54">
        <f>INDEX([1]ACOMPANHAMENTO!H:H,MATCH(A333,[1]ACOMPANHAMENTO!A:A,0))</f>
        <v>45809</v>
      </c>
      <c r="X333" s="11">
        <f t="shared" ca="1" si="5"/>
        <v>-124</v>
      </c>
    </row>
    <row r="334" spans="1:24" x14ac:dyDescent="0.3">
      <c r="A334" s="5">
        <v>374</v>
      </c>
      <c r="B334" s="21">
        <v>75</v>
      </c>
      <c r="C334" s="3" t="s">
        <v>2</v>
      </c>
      <c r="D334" s="4" t="s">
        <v>20</v>
      </c>
      <c r="E334" s="11" t="s">
        <v>2827</v>
      </c>
      <c r="F334" s="18" t="s">
        <v>760</v>
      </c>
      <c r="G334" s="3" t="s">
        <v>1</v>
      </c>
      <c r="H334" s="4" t="s">
        <v>257</v>
      </c>
      <c r="K334" s="8" t="s">
        <v>1052</v>
      </c>
      <c r="M334" s="35">
        <v>0.02</v>
      </c>
      <c r="N334" s="32">
        <v>0.04</v>
      </c>
      <c r="O334" s="32">
        <v>0.08</v>
      </c>
      <c r="P334" s="32">
        <v>0.12</v>
      </c>
      <c r="S334" t="s">
        <v>1150</v>
      </c>
      <c r="T334" s="11" t="s">
        <v>1135</v>
      </c>
      <c r="U334" s="11" t="s">
        <v>704</v>
      </c>
      <c r="V334" s="11" t="s">
        <v>2832</v>
      </c>
      <c r="W334" s="54">
        <f>INDEX([1]ACOMPANHAMENTO!H:H,MATCH(A334,[1]ACOMPANHAMENTO!A:A,0))</f>
        <v>45809</v>
      </c>
      <c r="X334" s="11">
        <f t="shared" ca="1" si="5"/>
        <v>-124</v>
      </c>
    </row>
    <row r="335" spans="1:24" x14ac:dyDescent="0.3">
      <c r="A335" s="5">
        <v>375</v>
      </c>
      <c r="B335" s="21">
        <v>142</v>
      </c>
      <c r="C335" s="3" t="s">
        <v>14</v>
      </c>
      <c r="D335" s="4" t="s">
        <v>15</v>
      </c>
      <c r="E335" s="11" t="s">
        <v>2827</v>
      </c>
      <c r="F335" s="18" t="s">
        <v>761</v>
      </c>
      <c r="G335" s="3" t="s">
        <v>179</v>
      </c>
      <c r="H335" s="4" t="s">
        <v>474</v>
      </c>
      <c r="K335" s="8"/>
      <c r="S335" t="s">
        <v>1272</v>
      </c>
      <c r="T335" s="11" t="s">
        <v>1272</v>
      </c>
      <c r="U335" s="11" t="s">
        <v>695</v>
      </c>
      <c r="V335" s="11" t="s">
        <v>3493</v>
      </c>
      <c r="W335" s="54">
        <f>INDEX([1]ACOMPANHAMENTO!H:H,MATCH(A335,[1]ACOMPANHAMENTO!A:A,0))</f>
        <v>42795</v>
      </c>
      <c r="X335" s="11">
        <f t="shared" ca="1" si="5"/>
        <v>-3138</v>
      </c>
    </row>
    <row r="336" spans="1:24" x14ac:dyDescent="0.3">
      <c r="A336" s="5">
        <v>376</v>
      </c>
      <c r="B336" s="21">
        <v>135</v>
      </c>
      <c r="C336" s="5" t="s">
        <v>174</v>
      </c>
      <c r="D336" s="11" t="s">
        <v>175</v>
      </c>
      <c r="E336" s="11" t="s">
        <v>2548</v>
      </c>
      <c r="F336" s="18" t="s">
        <v>762</v>
      </c>
      <c r="G336" s="3" t="s">
        <v>172</v>
      </c>
      <c r="H336" s="4" t="s">
        <v>475</v>
      </c>
      <c r="K336" s="8" t="s">
        <v>1101</v>
      </c>
      <c r="S336" t="s">
        <v>1374</v>
      </c>
      <c r="T336" s="11" t="s">
        <v>1375</v>
      </c>
      <c r="U336" s="11" t="s">
        <v>664</v>
      </c>
      <c r="V336" s="11" t="s">
        <v>2717</v>
      </c>
      <c r="W336" s="54">
        <f>INDEX([1]ACOMPANHAMENTO!H:H,MATCH(A336,[1]ACOMPANHAMENTO!A:A,0))</f>
        <v>45962</v>
      </c>
      <c r="X336" s="11">
        <f t="shared" ca="1" si="5"/>
        <v>29</v>
      </c>
    </row>
    <row r="337" spans="1:24" x14ac:dyDescent="0.3">
      <c r="A337" s="5">
        <v>377</v>
      </c>
      <c r="B337" s="21">
        <v>188</v>
      </c>
      <c r="C337" s="3" t="s">
        <v>144</v>
      </c>
      <c r="D337" s="4" t="s">
        <v>371</v>
      </c>
      <c r="E337" s="11" t="s">
        <v>2548</v>
      </c>
      <c r="F337" s="18" t="s">
        <v>763</v>
      </c>
      <c r="G337" s="3" t="s">
        <v>143</v>
      </c>
      <c r="H337" s="4" t="s">
        <v>370</v>
      </c>
      <c r="K337" s="8" t="s">
        <v>1085</v>
      </c>
      <c r="S337" t="s">
        <v>1381</v>
      </c>
      <c r="T337" s="11" t="s">
        <v>1382</v>
      </c>
      <c r="U337" t="s">
        <v>647</v>
      </c>
      <c r="V337" t="s">
        <v>3392</v>
      </c>
      <c r="W337" s="54">
        <f>INDEX([1]ACOMPANHAMENTO!H:H,MATCH(A337,[1]ACOMPANHAMENTO!A:A,0))</f>
        <v>45870</v>
      </c>
      <c r="X337" s="11">
        <f t="shared" ca="1" si="5"/>
        <v>-63</v>
      </c>
    </row>
    <row r="338" spans="1:24" x14ac:dyDescent="0.3">
      <c r="A338" s="5">
        <v>378</v>
      </c>
      <c r="B338" s="21">
        <v>113</v>
      </c>
      <c r="C338" s="3" t="s">
        <v>139</v>
      </c>
      <c r="D338" s="4" t="s">
        <v>140</v>
      </c>
      <c r="E338" s="11" t="s">
        <v>2548</v>
      </c>
      <c r="F338" s="18" t="s">
        <v>764</v>
      </c>
      <c r="G338" s="3" t="s">
        <v>138</v>
      </c>
      <c r="H338" s="4" t="s">
        <v>369</v>
      </c>
      <c r="K338" s="8" t="s">
        <v>1085</v>
      </c>
      <c r="S338" t="s">
        <v>1306</v>
      </c>
      <c r="T338" s="11" t="s">
        <v>1305</v>
      </c>
      <c r="U338" t="s">
        <v>3623</v>
      </c>
      <c r="V338" t="s">
        <v>3494</v>
      </c>
      <c r="W338" s="54">
        <f>INDEX([1]ACOMPANHAMENTO!H:H,MATCH(A338,[1]ACOMPANHAMENTO!A:A,0))</f>
        <v>45778</v>
      </c>
      <c r="X338" s="11">
        <f t="shared" ca="1" si="5"/>
        <v>-155</v>
      </c>
    </row>
    <row r="339" spans="1:24" x14ac:dyDescent="0.3">
      <c r="A339" s="5">
        <v>379</v>
      </c>
      <c r="B339" s="21">
        <v>54</v>
      </c>
      <c r="C339" s="3" t="s">
        <v>18</v>
      </c>
      <c r="D339" s="4" t="s">
        <v>302</v>
      </c>
      <c r="E339" s="11" t="s">
        <v>2827</v>
      </c>
      <c r="F339" s="18" t="s">
        <v>765</v>
      </c>
      <c r="G339" s="3" t="s">
        <v>19</v>
      </c>
      <c r="H339" s="4" t="s">
        <v>303</v>
      </c>
      <c r="K339" s="8" t="s">
        <v>1052</v>
      </c>
      <c r="M339" s="35">
        <v>0.02</v>
      </c>
      <c r="S339" t="s">
        <v>1154</v>
      </c>
      <c r="T339" s="11" t="s">
        <v>1155</v>
      </c>
      <c r="U339" s="11" t="s">
        <v>559</v>
      </c>
      <c r="V339" s="11" t="s">
        <v>2941</v>
      </c>
      <c r="W339" s="54">
        <f>INDEX([1]ACOMPANHAMENTO!H:H,MATCH(A339,[1]ACOMPANHAMENTO!A:A,0))</f>
        <v>45717</v>
      </c>
      <c r="X339" s="11">
        <f t="shared" ca="1" si="5"/>
        <v>-216</v>
      </c>
    </row>
    <row r="340" spans="1:24" x14ac:dyDescent="0.3">
      <c r="A340" s="5">
        <v>380</v>
      </c>
      <c r="B340" s="21">
        <v>179</v>
      </c>
      <c r="C340" s="3" t="s">
        <v>479</v>
      </c>
      <c r="D340" s="4" t="s">
        <v>478</v>
      </c>
      <c r="E340" s="11" t="s">
        <v>2548</v>
      </c>
      <c r="F340" s="18" t="s">
        <v>766</v>
      </c>
      <c r="G340" s="3" t="s">
        <v>477</v>
      </c>
      <c r="H340" s="4" t="s">
        <v>476</v>
      </c>
      <c r="K340" s="8" t="s">
        <v>1102</v>
      </c>
      <c r="S340" t="s">
        <v>1383</v>
      </c>
      <c r="T340" s="11" t="s">
        <v>1320</v>
      </c>
      <c r="U340" s="11" t="s">
        <v>3668</v>
      </c>
      <c r="V340" s="11" t="s">
        <v>2648</v>
      </c>
      <c r="W340" s="54">
        <f>INDEX([1]ACOMPANHAMENTO!H:H,MATCH(A340,[1]ACOMPANHAMENTO!A:A,0))</f>
        <v>45870</v>
      </c>
      <c r="X340" s="11">
        <f t="shared" ca="1" si="5"/>
        <v>-63</v>
      </c>
    </row>
    <row r="341" spans="1:24" x14ac:dyDescent="0.3">
      <c r="A341" s="5">
        <v>381</v>
      </c>
      <c r="B341" s="21">
        <v>148</v>
      </c>
      <c r="C341" s="3" t="s">
        <v>193</v>
      </c>
      <c r="D341" s="4" t="s">
        <v>396</v>
      </c>
      <c r="E341" s="11" t="s">
        <v>2156</v>
      </c>
      <c r="F341" s="18" t="s">
        <v>767</v>
      </c>
      <c r="G341" s="3" t="s">
        <v>192</v>
      </c>
      <c r="H341" s="4" t="s">
        <v>395</v>
      </c>
      <c r="K341" s="8" t="s">
        <v>1090</v>
      </c>
      <c r="S341" t="s">
        <v>1376</v>
      </c>
      <c r="T341" s="11" t="s">
        <v>1496</v>
      </c>
      <c r="U341" s="11" t="s">
        <v>667</v>
      </c>
      <c r="V341" s="11" t="s">
        <v>2219</v>
      </c>
      <c r="W341" s="54">
        <f>INDEX([1]ACOMPANHAMENTO!H:H,MATCH(A341,[1]ACOMPANHAMENTO!A:A,0))</f>
        <v>45809</v>
      </c>
      <c r="X341" s="11">
        <f t="shared" ca="1" si="5"/>
        <v>-124</v>
      </c>
    </row>
    <row r="342" spans="1:24" x14ac:dyDescent="0.3">
      <c r="A342" s="5">
        <v>382</v>
      </c>
      <c r="B342" s="21">
        <v>102</v>
      </c>
      <c r="C342" s="3" t="s">
        <v>129</v>
      </c>
      <c r="D342" s="4" t="s">
        <v>363</v>
      </c>
      <c r="E342" s="11" t="s">
        <v>2827</v>
      </c>
      <c r="F342" s="18" t="s">
        <v>941</v>
      </c>
      <c r="G342" s="3" t="s">
        <v>128</v>
      </c>
      <c r="H342" s="4" t="s">
        <v>362</v>
      </c>
      <c r="K342" s="8" t="s">
        <v>1055</v>
      </c>
      <c r="Q342" s="11" t="s">
        <v>1084</v>
      </c>
      <c r="S342" t="s">
        <v>1291</v>
      </c>
      <c r="T342" s="11" t="s">
        <v>1292</v>
      </c>
      <c r="U342" s="11" t="s">
        <v>941</v>
      </c>
      <c r="V342" s="11" t="s">
        <v>2920</v>
      </c>
      <c r="W342" s="54">
        <f>INDEX([1]ACOMPANHAMENTO!H:H,MATCH(A342,[1]ACOMPANHAMENTO!A:A,0))</f>
        <v>46204</v>
      </c>
      <c r="X342" s="11">
        <f t="shared" ca="1" si="5"/>
        <v>271</v>
      </c>
    </row>
    <row r="343" spans="1:24" x14ac:dyDescent="0.3">
      <c r="A343" s="5">
        <v>383</v>
      </c>
      <c r="B343" s="21">
        <v>82</v>
      </c>
      <c r="C343" s="3" t="s">
        <v>115</v>
      </c>
      <c r="D343" s="4" t="s">
        <v>116</v>
      </c>
      <c r="E343" s="11" t="s">
        <v>2827</v>
      </c>
      <c r="F343" s="18" t="s">
        <v>768</v>
      </c>
      <c r="G343" s="3" t="s">
        <v>113</v>
      </c>
      <c r="H343" s="4" t="s">
        <v>114</v>
      </c>
      <c r="K343" s="8" t="s">
        <v>1067</v>
      </c>
      <c r="S343" t="s">
        <v>1266</v>
      </c>
      <c r="T343" s="11" t="s">
        <v>1267</v>
      </c>
      <c r="U343" s="11" t="s">
        <v>768</v>
      </c>
      <c r="V343" s="11" t="s">
        <v>3185</v>
      </c>
      <c r="W343" s="54">
        <f>INDEX([1]ACOMPANHAMENTO!H:H,MATCH(A343,[1]ACOMPANHAMENTO!A:A,0))</f>
        <v>45962</v>
      </c>
      <c r="X343" s="11">
        <f t="shared" ca="1" si="5"/>
        <v>29</v>
      </c>
    </row>
    <row r="344" spans="1:24" x14ac:dyDescent="0.3">
      <c r="A344" s="5">
        <v>384</v>
      </c>
      <c r="B344" s="21">
        <v>172</v>
      </c>
      <c r="C344" s="3" t="s">
        <v>185</v>
      </c>
      <c r="D344" s="4" t="s">
        <v>261</v>
      </c>
      <c r="E344" s="11" t="s">
        <v>2548</v>
      </c>
      <c r="F344" s="18" t="s">
        <v>769</v>
      </c>
      <c r="G344" s="3" t="s">
        <v>184</v>
      </c>
      <c r="H344" s="4" t="s">
        <v>392</v>
      </c>
      <c r="K344" s="8" t="s">
        <v>1051</v>
      </c>
      <c r="S344" t="s">
        <v>1348</v>
      </c>
      <c r="T344" s="11" t="s">
        <v>1349</v>
      </c>
      <c r="U344" t="s">
        <v>3591</v>
      </c>
      <c r="V344" t="s">
        <v>3495</v>
      </c>
      <c r="W344" s="54">
        <f>INDEX([1]ACOMPANHAMENTO!H:H,MATCH(A344,[1]ACOMPANHAMENTO!A:A,0))</f>
        <v>45870</v>
      </c>
      <c r="X344" s="11">
        <f t="shared" ca="1" si="5"/>
        <v>-63</v>
      </c>
    </row>
    <row r="345" spans="1:24" x14ac:dyDescent="0.3">
      <c r="A345" s="5">
        <v>385</v>
      </c>
      <c r="B345" s="21">
        <v>2</v>
      </c>
      <c r="C345" s="3" t="s">
        <v>9</v>
      </c>
      <c r="D345" s="4" t="s">
        <v>295</v>
      </c>
      <c r="E345" s="11" t="s">
        <v>2827</v>
      </c>
      <c r="F345" s="18" t="s">
        <v>770</v>
      </c>
      <c r="G345" s="3" t="s">
        <v>8</v>
      </c>
      <c r="H345" s="4" t="s">
        <v>294</v>
      </c>
      <c r="K345" s="8" t="s">
        <v>1052</v>
      </c>
      <c r="M345" s="35">
        <v>4.4999999999999998E-2</v>
      </c>
      <c r="S345" t="s">
        <v>1139</v>
      </c>
      <c r="T345" s="11" t="s">
        <v>1140</v>
      </c>
      <c r="U345" s="11" t="s">
        <v>3587</v>
      </c>
      <c r="V345" s="11" t="s">
        <v>3405</v>
      </c>
      <c r="W345" s="54">
        <f>INDEX([1]ACOMPANHAMENTO!H:H,MATCH(A345,[1]ACOMPANHAMENTO!A:A,0))</f>
        <v>45689</v>
      </c>
      <c r="X345" s="11">
        <f t="shared" ca="1" si="5"/>
        <v>-244</v>
      </c>
    </row>
    <row r="346" spans="1:24" x14ac:dyDescent="0.3">
      <c r="A346" s="5">
        <v>386</v>
      </c>
      <c r="B346" s="21">
        <v>180</v>
      </c>
      <c r="C346" s="3" t="s">
        <v>196</v>
      </c>
      <c r="D346" s="4" t="s">
        <v>487</v>
      </c>
      <c r="E346" s="11" t="s">
        <v>2156</v>
      </c>
      <c r="F346" s="18" t="s">
        <v>771</v>
      </c>
      <c r="G346" s="3" t="s">
        <v>195</v>
      </c>
      <c r="H346" s="4" t="s">
        <v>397</v>
      </c>
      <c r="K346" s="8" t="s">
        <v>1052</v>
      </c>
      <c r="S346" t="s">
        <v>1385</v>
      </c>
      <c r="T346" s="11" t="s">
        <v>1384</v>
      </c>
      <c r="V346" s="11" t="s">
        <v>2245</v>
      </c>
      <c r="W346" s="54">
        <f>INDEX([1]ACOMPANHAMENTO!H:H,MATCH(A346,[1]ACOMPANHAMENTO!A:A,0))</f>
        <v>45809</v>
      </c>
      <c r="X346" s="11">
        <f t="shared" ca="1" si="5"/>
        <v>-124</v>
      </c>
    </row>
    <row r="347" spans="1:24" x14ac:dyDescent="0.3">
      <c r="A347" s="5">
        <v>387</v>
      </c>
      <c r="B347" s="21">
        <v>181</v>
      </c>
      <c r="C347" s="3" t="s">
        <v>483</v>
      </c>
      <c r="D347" s="4" t="s">
        <v>482</v>
      </c>
      <c r="E347" s="11" t="s">
        <v>2548</v>
      </c>
      <c r="F347" s="18" t="s">
        <v>772</v>
      </c>
      <c r="G347" s="3" t="s">
        <v>481</v>
      </c>
      <c r="H347" s="4" t="s">
        <v>480</v>
      </c>
      <c r="K347" s="8" t="s">
        <v>1085</v>
      </c>
      <c r="S347" t="s">
        <v>1387</v>
      </c>
      <c r="T347" s="11" t="s">
        <v>1386</v>
      </c>
      <c r="U347" s="11" t="s">
        <v>3656</v>
      </c>
      <c r="V347" s="11" t="s">
        <v>2715</v>
      </c>
      <c r="W347" s="54">
        <f>INDEX([1]ACOMPANHAMENTO!H:H,MATCH(A347,[1]ACOMPANHAMENTO!A:A,0))</f>
        <v>45962</v>
      </c>
      <c r="X347" s="11">
        <f t="shared" ca="1" si="5"/>
        <v>29</v>
      </c>
    </row>
    <row r="348" spans="1:24" x14ac:dyDescent="0.3">
      <c r="A348" s="5">
        <v>388</v>
      </c>
      <c r="B348" s="21">
        <v>25</v>
      </c>
      <c r="C348" s="3" t="s">
        <v>4</v>
      </c>
      <c r="D348" s="4" t="s">
        <v>292</v>
      </c>
      <c r="E348" s="11" t="s">
        <v>2827</v>
      </c>
      <c r="F348" s="18" t="s">
        <v>889</v>
      </c>
      <c r="G348" s="3" t="s">
        <v>5</v>
      </c>
      <c r="H348" s="4" t="s">
        <v>293</v>
      </c>
      <c r="K348" s="8" t="s">
        <v>1053</v>
      </c>
      <c r="Q348" s="11" t="s">
        <v>1054</v>
      </c>
      <c r="S348" t="s">
        <v>1136</v>
      </c>
      <c r="T348" s="11" t="s">
        <v>1137</v>
      </c>
      <c r="U348" s="11" t="s">
        <v>820</v>
      </c>
      <c r="V348" s="11" t="s">
        <v>3239</v>
      </c>
      <c r="W348" s="54">
        <f>INDEX([1]ACOMPANHAMENTO!H:H,MATCH(A348,[1]ACOMPANHAMENTO!A:A,0))</f>
        <v>45931</v>
      </c>
      <c r="X348" s="11">
        <f t="shared" ca="1" si="5"/>
        <v>-2</v>
      </c>
    </row>
    <row r="349" spans="1:24" x14ac:dyDescent="0.3">
      <c r="A349" s="5">
        <v>389</v>
      </c>
      <c r="B349" s="21">
        <v>105</v>
      </c>
      <c r="C349" s="3" t="s">
        <v>31</v>
      </c>
      <c r="D349" s="4" t="s">
        <v>32</v>
      </c>
      <c r="E349" s="11" t="s">
        <v>2827</v>
      </c>
      <c r="F349" s="18" t="s">
        <v>773</v>
      </c>
      <c r="G349" s="3" t="s">
        <v>22</v>
      </c>
      <c r="H349" s="4" t="s">
        <v>305</v>
      </c>
      <c r="K349" s="8" t="s">
        <v>1052</v>
      </c>
      <c r="M349" s="35">
        <v>0.02</v>
      </c>
      <c r="S349" t="s">
        <v>1170</v>
      </c>
      <c r="T349" s="11" t="s">
        <v>1171</v>
      </c>
      <c r="U349" s="11" t="s">
        <v>557</v>
      </c>
      <c r="V349" s="11" t="s">
        <v>3169</v>
      </c>
      <c r="W349" s="54">
        <f>INDEX([1]ACOMPANHAMENTO!H:H,MATCH(A349,[1]ACOMPANHAMENTO!A:A,0))</f>
        <v>45717</v>
      </c>
      <c r="X349" s="11">
        <f t="shared" ca="1" si="5"/>
        <v>-216</v>
      </c>
    </row>
    <row r="350" spans="1:24" x14ac:dyDescent="0.3">
      <c r="A350" s="5">
        <v>390</v>
      </c>
      <c r="B350" s="21">
        <v>167</v>
      </c>
      <c r="C350" s="3" t="s">
        <v>183</v>
      </c>
      <c r="D350" s="4" t="s">
        <v>260</v>
      </c>
      <c r="E350" s="11" t="s">
        <v>2548</v>
      </c>
      <c r="F350" s="18" t="s">
        <v>774</v>
      </c>
      <c r="G350" s="3" t="s">
        <v>182</v>
      </c>
      <c r="H350" s="4" t="s">
        <v>259</v>
      </c>
      <c r="K350" s="8" t="s">
        <v>1085</v>
      </c>
      <c r="S350" t="s">
        <v>1346</v>
      </c>
      <c r="T350" s="11" t="s">
        <v>1347</v>
      </c>
      <c r="U350" s="11" t="s">
        <v>3630</v>
      </c>
      <c r="V350" s="11" t="s">
        <v>3496</v>
      </c>
      <c r="W350" s="54">
        <f>INDEX([1]ACOMPANHAMENTO!H:H,MATCH(A350,[1]ACOMPANHAMENTO!A:A,0))</f>
        <v>45778</v>
      </c>
      <c r="X350" s="11">
        <f t="shared" ca="1" si="5"/>
        <v>-155</v>
      </c>
    </row>
    <row r="351" spans="1:24" x14ac:dyDescent="0.3">
      <c r="A351" s="5">
        <v>391</v>
      </c>
      <c r="B351" s="21">
        <v>187</v>
      </c>
      <c r="C351" s="3" t="s">
        <v>198</v>
      </c>
      <c r="D351" s="4" t="s">
        <v>398</v>
      </c>
      <c r="E351" s="11" t="s">
        <v>2156</v>
      </c>
      <c r="F351" s="18" t="s">
        <v>775</v>
      </c>
      <c r="G351" s="3" t="s">
        <v>197</v>
      </c>
      <c r="H351" s="4" t="s">
        <v>533</v>
      </c>
      <c r="K351" s="8" t="s">
        <v>1102</v>
      </c>
      <c r="S351" t="s">
        <v>1389</v>
      </c>
      <c r="T351" s="11" t="s">
        <v>1388</v>
      </c>
      <c r="U351" s="11" t="s">
        <v>3635</v>
      </c>
      <c r="V351" s="11" t="s">
        <v>2181</v>
      </c>
      <c r="W351" s="54">
        <f>INDEX([1]ACOMPANHAMENTO!H:H,MATCH(A351,[1]ACOMPANHAMENTO!A:A,0))</f>
        <v>45809</v>
      </c>
      <c r="X351" s="11">
        <f t="shared" ca="1" si="5"/>
        <v>-124</v>
      </c>
    </row>
    <row r="352" spans="1:24" x14ac:dyDescent="0.3">
      <c r="A352" s="5">
        <v>392</v>
      </c>
      <c r="B352" s="21">
        <v>129</v>
      </c>
      <c r="C352" s="3" t="s">
        <v>163</v>
      </c>
      <c r="D352" s="4" t="s">
        <v>164</v>
      </c>
      <c r="E352" s="11" t="s">
        <v>2156</v>
      </c>
      <c r="F352" s="18" t="s">
        <v>906</v>
      </c>
      <c r="G352" s="3" t="s">
        <v>434</v>
      </c>
      <c r="H352" s="4" t="s">
        <v>162</v>
      </c>
      <c r="K352" s="8" t="s">
        <v>1092</v>
      </c>
      <c r="S352" t="s">
        <v>1328</v>
      </c>
      <c r="T352" s="11" t="s">
        <v>1327</v>
      </c>
      <c r="U352" s="11" t="s">
        <v>906</v>
      </c>
      <c r="V352" s="11" t="s">
        <v>2224</v>
      </c>
      <c r="W352" s="54">
        <f>INDEX([1]ACOMPANHAMENTO!H:H,MATCH(A352,[1]ACOMPANHAMENTO!A:A,0))</f>
        <v>45809</v>
      </c>
      <c r="X352" s="11">
        <f t="shared" ca="1" si="5"/>
        <v>-124</v>
      </c>
    </row>
    <row r="353" spans="1:24" x14ac:dyDescent="0.3">
      <c r="A353" s="5">
        <v>393</v>
      </c>
      <c r="B353" s="21">
        <v>145</v>
      </c>
      <c r="C353" s="3" t="s">
        <v>74</v>
      </c>
      <c r="D353" s="4" t="s">
        <v>338</v>
      </c>
      <c r="E353" s="11" t="s">
        <v>2827</v>
      </c>
      <c r="F353" s="18" t="s">
        <v>943</v>
      </c>
      <c r="G353" s="3" t="s">
        <v>68</v>
      </c>
      <c r="H353" s="4" t="s">
        <v>69</v>
      </c>
      <c r="K353" s="8" t="s">
        <v>1052</v>
      </c>
      <c r="M353" s="35">
        <v>0.03</v>
      </c>
      <c r="S353" t="s">
        <v>1212</v>
      </c>
      <c r="T353" s="11" t="s">
        <v>1213</v>
      </c>
      <c r="U353" s="11" t="s">
        <v>943</v>
      </c>
      <c r="V353" s="11" t="s">
        <v>3133</v>
      </c>
      <c r="W353" s="54">
        <f>INDEX([1]ACOMPANHAMENTO!H:H,MATCH(A353,[1]ACOMPANHAMENTO!A:A,0))</f>
        <v>45901</v>
      </c>
      <c r="X353" s="11">
        <f t="shared" ca="1" si="5"/>
        <v>-32</v>
      </c>
    </row>
    <row r="354" spans="1:24" x14ac:dyDescent="0.3">
      <c r="A354" s="5">
        <v>394</v>
      </c>
      <c r="B354" s="21">
        <v>180</v>
      </c>
      <c r="C354" s="3" t="s">
        <v>196</v>
      </c>
      <c r="D354" s="4" t="s">
        <v>487</v>
      </c>
      <c r="E354" s="11" t="s">
        <v>2156</v>
      </c>
      <c r="F354" s="18" t="s">
        <v>776</v>
      </c>
      <c r="G354" s="3" t="s">
        <v>195</v>
      </c>
      <c r="H354" s="4" t="s">
        <v>397</v>
      </c>
      <c r="K354" s="8" t="s">
        <v>1052</v>
      </c>
      <c r="S354" t="s">
        <v>1385</v>
      </c>
      <c r="T354" s="11" t="s">
        <v>1384</v>
      </c>
      <c r="V354" s="11" t="s">
        <v>3497</v>
      </c>
      <c r="W354" s="54">
        <f>INDEX([1]ACOMPANHAMENTO!H:H,MATCH(A354,[1]ACOMPANHAMENTO!A:A,0))</f>
        <v>45809</v>
      </c>
      <c r="X354" s="11">
        <f t="shared" ca="1" si="5"/>
        <v>-124</v>
      </c>
    </row>
    <row r="355" spans="1:24" x14ac:dyDescent="0.3">
      <c r="A355" s="5">
        <v>395</v>
      </c>
      <c r="B355" s="21">
        <v>182</v>
      </c>
      <c r="C355" s="3" t="s">
        <v>199</v>
      </c>
      <c r="D355" s="4" t="s">
        <v>266</v>
      </c>
      <c r="E355" s="11" t="s">
        <v>2548</v>
      </c>
      <c r="F355" s="18" t="s">
        <v>777</v>
      </c>
      <c r="G355" s="3" t="s">
        <v>184</v>
      </c>
      <c r="H355" s="4" t="s">
        <v>392</v>
      </c>
      <c r="K355" s="8" t="s">
        <v>1051</v>
      </c>
      <c r="S355" t="s">
        <v>1390</v>
      </c>
      <c r="T355" s="11" t="s">
        <v>1391</v>
      </c>
      <c r="U355" s="11" t="s">
        <v>777</v>
      </c>
      <c r="V355" s="11" t="s">
        <v>2642</v>
      </c>
      <c r="W355" s="54">
        <f>INDEX([1]ACOMPANHAMENTO!H:H,MATCH(A355,[1]ACOMPANHAMENTO!A:A,0))</f>
        <v>45139</v>
      </c>
      <c r="X355" s="11">
        <f t="shared" ca="1" si="5"/>
        <v>-794</v>
      </c>
    </row>
    <row r="356" spans="1:24" x14ac:dyDescent="0.3">
      <c r="A356" s="5">
        <v>396</v>
      </c>
      <c r="B356" s="21">
        <v>122</v>
      </c>
      <c r="C356" s="3" t="s">
        <v>149</v>
      </c>
      <c r="D356" s="4" t="s">
        <v>176</v>
      </c>
      <c r="E356" s="11" t="s">
        <v>2156</v>
      </c>
      <c r="F356" s="18" t="s">
        <v>778</v>
      </c>
      <c r="G356" s="3" t="s">
        <v>148</v>
      </c>
      <c r="H356" s="4" t="s">
        <v>375</v>
      </c>
      <c r="K356" s="8" t="s">
        <v>1052</v>
      </c>
      <c r="S356" t="s">
        <v>1319</v>
      </c>
      <c r="T356" s="11" t="s">
        <v>1320</v>
      </c>
      <c r="U356" t="s">
        <v>716</v>
      </c>
      <c r="V356" t="s">
        <v>3393</v>
      </c>
      <c r="W356" s="54">
        <f>INDEX([1]ACOMPANHAMENTO!H:H,MATCH(A356,[1]ACOMPANHAMENTO!A:A,0))</f>
        <v>45809</v>
      </c>
      <c r="X356" s="11">
        <f t="shared" ca="1" si="5"/>
        <v>-124</v>
      </c>
    </row>
    <row r="357" spans="1:24" x14ac:dyDescent="0.3">
      <c r="A357" s="5">
        <v>397</v>
      </c>
      <c r="B357" s="21">
        <v>146</v>
      </c>
      <c r="C357" s="3" t="s">
        <v>26</v>
      </c>
      <c r="D357" s="4" t="s">
        <v>306</v>
      </c>
      <c r="E357" s="11" t="s">
        <v>2827</v>
      </c>
      <c r="F357" s="18" t="s">
        <v>779</v>
      </c>
      <c r="G357" s="3" t="s">
        <v>25</v>
      </c>
      <c r="H357" s="4" t="s">
        <v>431</v>
      </c>
      <c r="K357" s="8" t="s">
        <v>1052</v>
      </c>
      <c r="Q357" s="11" t="s">
        <v>1057</v>
      </c>
      <c r="S357" t="s">
        <v>1160</v>
      </c>
      <c r="T357" s="11" t="s">
        <v>1161</v>
      </c>
      <c r="U357" s="11" t="s">
        <v>698</v>
      </c>
      <c r="V357" s="11" t="s">
        <v>2927</v>
      </c>
      <c r="W357" s="54">
        <f>INDEX([1]ACOMPANHAMENTO!H:H,MATCH(A357,[1]ACOMPANHAMENTO!A:A,0))</f>
        <v>45778</v>
      </c>
      <c r="X357" s="11">
        <f t="shared" ca="1" si="5"/>
        <v>-155</v>
      </c>
    </row>
    <row r="358" spans="1:24" x14ac:dyDescent="0.3">
      <c r="A358" s="5">
        <v>398</v>
      </c>
      <c r="B358" s="21">
        <v>35</v>
      </c>
      <c r="C358" s="3" t="s">
        <v>18</v>
      </c>
      <c r="D358" s="4" t="s">
        <v>302</v>
      </c>
      <c r="E358" s="11" t="s">
        <v>2827</v>
      </c>
      <c r="F358" s="18" t="s">
        <v>780</v>
      </c>
      <c r="G358" s="3" t="s">
        <v>48</v>
      </c>
      <c r="H358" s="4" t="s">
        <v>324</v>
      </c>
      <c r="K358" s="8" t="s">
        <v>1052</v>
      </c>
      <c r="M358" s="35">
        <v>0.02</v>
      </c>
      <c r="S358" t="s">
        <v>1187</v>
      </c>
      <c r="T358" s="11" t="s">
        <v>1188</v>
      </c>
      <c r="U358" s="11" t="s">
        <v>559</v>
      </c>
      <c r="V358" s="11" t="s">
        <v>2936</v>
      </c>
      <c r="W358" s="54">
        <f>INDEX([1]ACOMPANHAMENTO!H:H,MATCH(A358,[1]ACOMPANHAMENTO!A:A,0))</f>
        <v>45778</v>
      </c>
      <c r="X358" s="11">
        <f t="shared" ca="1" si="5"/>
        <v>-155</v>
      </c>
    </row>
    <row r="359" spans="1:24" x14ac:dyDescent="0.3">
      <c r="A359" s="5">
        <v>399</v>
      </c>
      <c r="B359" s="21">
        <v>172</v>
      </c>
      <c r="C359" s="3" t="s">
        <v>185</v>
      </c>
      <c r="D359" s="4" t="s">
        <v>261</v>
      </c>
      <c r="E359" s="11" t="s">
        <v>2548</v>
      </c>
      <c r="F359" s="18" t="s">
        <v>781</v>
      </c>
      <c r="G359" s="3" t="s">
        <v>184</v>
      </c>
      <c r="H359" s="4" t="s">
        <v>392</v>
      </c>
      <c r="K359" s="8" t="s">
        <v>1098</v>
      </c>
      <c r="S359" t="s">
        <v>1348</v>
      </c>
      <c r="T359" s="11" t="s">
        <v>1349</v>
      </c>
      <c r="U359" s="11" t="s">
        <v>3591</v>
      </c>
      <c r="V359" s="11" t="s">
        <v>2759</v>
      </c>
      <c r="W359" s="54">
        <f>INDEX([1]ACOMPANHAMENTO!H:H,MATCH(A359,[1]ACOMPANHAMENTO!A:A,0))</f>
        <v>45870</v>
      </c>
      <c r="X359" s="11">
        <f t="shared" ca="1" si="5"/>
        <v>-63</v>
      </c>
    </row>
    <row r="360" spans="1:24" x14ac:dyDescent="0.3">
      <c r="A360" s="5">
        <v>400</v>
      </c>
      <c r="B360" s="21">
        <v>179</v>
      </c>
      <c r="C360" s="3" t="s">
        <v>180</v>
      </c>
      <c r="D360" s="4" t="s">
        <v>390</v>
      </c>
      <c r="E360" s="11" t="s">
        <v>2548</v>
      </c>
      <c r="F360" s="18" t="s">
        <v>782</v>
      </c>
      <c r="G360" s="3" t="s">
        <v>181</v>
      </c>
      <c r="H360" s="4" t="s">
        <v>391</v>
      </c>
      <c r="K360" s="8" t="s">
        <v>1102</v>
      </c>
      <c r="S360" t="s">
        <v>1383</v>
      </c>
      <c r="T360" s="11" t="s">
        <v>1320</v>
      </c>
      <c r="U360" s="11" t="s">
        <v>677</v>
      </c>
      <c r="V360" s="11" t="s">
        <v>3498</v>
      </c>
      <c r="W360" s="54">
        <f>INDEX([1]ACOMPANHAMENTO!H:H,MATCH(A360,[1]ACOMPANHAMENTO!A:A,0))</f>
        <v>45870</v>
      </c>
      <c r="X360" s="11">
        <f t="shared" ca="1" si="5"/>
        <v>-63</v>
      </c>
    </row>
    <row r="361" spans="1:24" x14ac:dyDescent="0.3">
      <c r="A361" s="5">
        <v>401</v>
      </c>
      <c r="B361" s="21">
        <v>33</v>
      </c>
      <c r="C361" s="3" t="s">
        <v>92</v>
      </c>
      <c r="D361" s="4" t="s">
        <v>350</v>
      </c>
      <c r="E361" s="11" t="s">
        <v>2827</v>
      </c>
      <c r="F361" s="18" t="s">
        <v>783</v>
      </c>
      <c r="G361" s="3" t="s">
        <v>51</v>
      </c>
      <c r="H361" s="4" t="s">
        <v>134</v>
      </c>
      <c r="K361" s="8" t="s">
        <v>1067</v>
      </c>
      <c r="M361" s="35">
        <v>0.06</v>
      </c>
      <c r="S361" t="s">
        <v>1238</v>
      </c>
      <c r="T361" s="11" t="s">
        <v>1237</v>
      </c>
      <c r="U361" s="11" t="s">
        <v>746</v>
      </c>
      <c r="V361" s="11" t="s">
        <v>3107</v>
      </c>
      <c r="W361" s="54">
        <f>INDEX([1]ACOMPANHAMENTO!H:H,MATCH(A361,[1]ACOMPANHAMENTO!A:A,0))</f>
        <v>45962</v>
      </c>
      <c r="X361" s="11">
        <f t="shared" ca="1" si="5"/>
        <v>29</v>
      </c>
    </row>
    <row r="362" spans="1:24" x14ac:dyDescent="0.3">
      <c r="A362" s="5">
        <v>402</v>
      </c>
      <c r="B362" s="21">
        <v>183</v>
      </c>
      <c r="C362" s="3" t="s">
        <v>144</v>
      </c>
      <c r="D362" s="4" t="s">
        <v>371</v>
      </c>
      <c r="E362" s="11" t="s">
        <v>2548</v>
      </c>
      <c r="F362" s="18" t="s">
        <v>784</v>
      </c>
      <c r="G362" s="3" t="s">
        <v>33</v>
      </c>
      <c r="H362" s="4" t="s">
        <v>34</v>
      </c>
      <c r="K362" s="8" t="s">
        <v>1088</v>
      </c>
      <c r="S362" t="s">
        <v>1393</v>
      </c>
      <c r="T362" s="11" t="s">
        <v>1392</v>
      </c>
      <c r="U362" s="11" t="s">
        <v>647</v>
      </c>
      <c r="V362" s="11" t="s">
        <v>2793</v>
      </c>
      <c r="W362" s="54">
        <f>INDEX([1]ACOMPANHAMENTO!H:H,MATCH(A362,[1]ACOMPANHAMENTO!A:A,0))</f>
        <v>45962</v>
      </c>
      <c r="X362" s="11">
        <f t="shared" ca="1" si="5"/>
        <v>29</v>
      </c>
    </row>
    <row r="363" spans="1:24" x14ac:dyDescent="0.3">
      <c r="A363" s="5">
        <v>403</v>
      </c>
      <c r="B363" s="21">
        <v>184</v>
      </c>
      <c r="C363" s="3" t="s">
        <v>201</v>
      </c>
      <c r="D363" s="4" t="s">
        <v>268</v>
      </c>
      <c r="E363" s="11" t="s">
        <v>2156</v>
      </c>
      <c r="F363" s="18" t="s">
        <v>785</v>
      </c>
      <c r="G363" s="3" t="s">
        <v>200</v>
      </c>
      <c r="H363" s="4" t="s">
        <v>267</v>
      </c>
      <c r="K363" s="8" t="s">
        <v>1052</v>
      </c>
      <c r="S363" t="s">
        <v>1394</v>
      </c>
      <c r="T363" s="11" t="s">
        <v>1394</v>
      </c>
      <c r="U363" s="11" t="s">
        <v>3636</v>
      </c>
      <c r="V363" s="11" t="s">
        <v>3499</v>
      </c>
      <c r="W363" s="54">
        <f>INDEX([1]ACOMPANHAMENTO!H:H,MATCH(A363,[1]ACOMPANHAMENTO!A:A,0))</f>
        <v>45809</v>
      </c>
      <c r="X363" s="11">
        <f t="shared" ca="1" si="5"/>
        <v>-124</v>
      </c>
    </row>
    <row r="364" spans="1:24" x14ac:dyDescent="0.3">
      <c r="A364" s="5">
        <v>404</v>
      </c>
      <c r="B364" s="21">
        <v>102</v>
      </c>
      <c r="C364" s="3" t="s">
        <v>129</v>
      </c>
      <c r="D364" s="4" t="s">
        <v>363</v>
      </c>
      <c r="E364" s="11" t="s">
        <v>2827</v>
      </c>
      <c r="F364" s="18" t="s">
        <v>941</v>
      </c>
      <c r="G364" s="3" t="s">
        <v>128</v>
      </c>
      <c r="H364" s="4" t="s">
        <v>362</v>
      </c>
      <c r="K364" s="8" t="s">
        <v>1055</v>
      </c>
      <c r="Q364" s="11" t="s">
        <v>1084</v>
      </c>
      <c r="S364" t="s">
        <v>1291</v>
      </c>
      <c r="T364" s="11" t="s">
        <v>1292</v>
      </c>
      <c r="U364" s="11" t="s">
        <v>941</v>
      </c>
      <c r="V364" s="11" t="s">
        <v>2920</v>
      </c>
      <c r="W364" s="54">
        <f>INDEX([1]ACOMPANHAMENTO!H:H,MATCH(A364,[1]ACOMPANHAMENTO!A:A,0))</f>
        <v>46204</v>
      </c>
      <c r="X364" s="11">
        <f t="shared" ca="1" si="5"/>
        <v>271</v>
      </c>
    </row>
    <row r="365" spans="1:24" x14ac:dyDescent="0.3">
      <c r="A365" s="5">
        <v>405</v>
      </c>
      <c r="B365" s="21">
        <v>185</v>
      </c>
      <c r="C365" s="3" t="s">
        <v>14</v>
      </c>
      <c r="D365" s="4" t="s">
        <v>15</v>
      </c>
      <c r="E365" s="11" t="s">
        <v>2827</v>
      </c>
      <c r="F365" s="18" t="s">
        <v>786</v>
      </c>
      <c r="G365" s="3" t="s">
        <v>19</v>
      </c>
      <c r="H365" s="4" t="s">
        <v>303</v>
      </c>
      <c r="K365" s="8" t="s">
        <v>1052</v>
      </c>
      <c r="M365" s="35">
        <v>0.02</v>
      </c>
      <c r="S365" t="s">
        <v>1395</v>
      </c>
      <c r="T365" s="11" t="s">
        <v>1396</v>
      </c>
      <c r="U365" s="11" t="s">
        <v>695</v>
      </c>
      <c r="V365" s="11" t="s">
        <v>3500</v>
      </c>
      <c r="W365" s="54">
        <f>INDEX([1]ACOMPANHAMENTO!H:H,MATCH(A365,[1]ACOMPANHAMENTO!A:A,0))</f>
        <v>45717</v>
      </c>
      <c r="X365" s="11">
        <f t="shared" ca="1" si="5"/>
        <v>-216</v>
      </c>
    </row>
    <row r="366" spans="1:24" x14ac:dyDescent="0.3">
      <c r="A366" s="5">
        <v>406</v>
      </c>
      <c r="B366" s="21">
        <v>186</v>
      </c>
      <c r="C366" s="3" t="s">
        <v>202</v>
      </c>
      <c r="D366" s="4" t="s">
        <v>399</v>
      </c>
      <c r="E366" s="11" t="s">
        <v>2548</v>
      </c>
      <c r="F366" s="18" t="s">
        <v>787</v>
      </c>
      <c r="G366" s="3" t="s">
        <v>181</v>
      </c>
      <c r="H366" s="4" t="s">
        <v>391</v>
      </c>
      <c r="K366" s="8" t="s">
        <v>1103</v>
      </c>
      <c r="S366" t="s">
        <v>1398</v>
      </c>
      <c r="T366" s="11" t="s">
        <v>1397</v>
      </c>
      <c r="U366" s="11" t="s">
        <v>3592</v>
      </c>
      <c r="V366" s="11" t="s">
        <v>2756</v>
      </c>
      <c r="W366" s="54">
        <f>INDEX([1]ACOMPANHAMENTO!H:H,MATCH(A366,[1]ACOMPANHAMENTO!A:A,0))</f>
        <v>45870</v>
      </c>
      <c r="X366" s="11">
        <f t="shared" ca="1" si="5"/>
        <v>-63</v>
      </c>
    </row>
    <row r="367" spans="1:24" x14ac:dyDescent="0.3">
      <c r="A367" s="5">
        <v>407</v>
      </c>
      <c r="B367" s="21">
        <v>130</v>
      </c>
      <c r="C367" s="3" t="s">
        <v>149</v>
      </c>
      <c r="D367" s="4" t="s">
        <v>176</v>
      </c>
      <c r="E367" s="11" t="s">
        <v>1510</v>
      </c>
      <c r="F367" s="18" t="s">
        <v>788</v>
      </c>
      <c r="G367" s="3" t="s">
        <v>169</v>
      </c>
      <c r="H367" s="4" t="s">
        <v>385</v>
      </c>
      <c r="K367" s="8" t="s">
        <v>1052</v>
      </c>
      <c r="S367" t="s">
        <v>1332</v>
      </c>
      <c r="T367" s="11" t="s">
        <v>1331</v>
      </c>
      <c r="U367" s="11" t="s">
        <v>716</v>
      </c>
      <c r="V367" s="11" t="s">
        <v>1953</v>
      </c>
      <c r="W367" s="54">
        <f>INDEX([1]ACOMPANHAMENTO!H:H,MATCH(A367,[1]ACOMPANHAMENTO!A:A,0))</f>
        <v>45809</v>
      </c>
      <c r="X367" s="11">
        <f t="shared" ca="1" si="5"/>
        <v>-124</v>
      </c>
    </row>
    <row r="368" spans="1:24" x14ac:dyDescent="0.3">
      <c r="A368" s="5">
        <v>408</v>
      </c>
      <c r="B368" s="21">
        <v>175</v>
      </c>
      <c r="C368" s="3" t="s">
        <v>105</v>
      </c>
      <c r="D368" s="4" t="s">
        <v>356</v>
      </c>
      <c r="E368" s="11" t="s">
        <v>2827</v>
      </c>
      <c r="F368" s="18" t="s">
        <v>789</v>
      </c>
      <c r="G368" s="3" t="s">
        <v>3</v>
      </c>
      <c r="H368" s="4" t="s">
        <v>7</v>
      </c>
      <c r="K368" s="8" t="s">
        <v>1100</v>
      </c>
      <c r="M368" s="35">
        <v>0.02</v>
      </c>
      <c r="S368" t="s">
        <v>1355</v>
      </c>
      <c r="T368" s="11" t="s">
        <v>1354</v>
      </c>
      <c r="U368" s="11" t="s">
        <v>694</v>
      </c>
      <c r="V368" s="11" t="s">
        <v>3184</v>
      </c>
      <c r="W368" s="54">
        <f>INDEX([1]ACOMPANHAMENTO!H:H,MATCH(A368,[1]ACOMPANHAMENTO!A:A,0))</f>
        <v>45717</v>
      </c>
      <c r="X368" s="11">
        <f t="shared" ca="1" si="5"/>
        <v>-216</v>
      </c>
    </row>
    <row r="369" spans="1:24" x14ac:dyDescent="0.3">
      <c r="A369" s="5">
        <v>409</v>
      </c>
      <c r="B369" s="21">
        <v>120</v>
      </c>
      <c r="C369" s="3" t="s">
        <v>146</v>
      </c>
      <c r="D369" s="4" t="s">
        <v>373</v>
      </c>
      <c r="E369" s="11" t="s">
        <v>2827</v>
      </c>
      <c r="F369" s="18" t="s">
        <v>790</v>
      </c>
      <c r="G369" s="3" t="s">
        <v>60</v>
      </c>
      <c r="H369" s="4" t="s">
        <v>330</v>
      </c>
      <c r="K369" s="8" t="s">
        <v>1067</v>
      </c>
      <c r="L369" s="32">
        <v>1.4999999999999999E-2</v>
      </c>
      <c r="M369" s="35">
        <v>0.05</v>
      </c>
      <c r="S369" t="s">
        <v>1317</v>
      </c>
      <c r="T369" s="11" t="s">
        <v>1318</v>
      </c>
      <c r="U369" s="11" t="s">
        <v>3613</v>
      </c>
      <c r="V369" s="11" t="s">
        <v>3020</v>
      </c>
      <c r="W369" s="54">
        <f>INDEX([1]ACOMPANHAMENTO!H:H,MATCH(A369,[1]ACOMPANHAMENTO!A:A,0))</f>
        <v>45717</v>
      </c>
      <c r="X369" s="11">
        <f t="shared" ca="1" si="5"/>
        <v>-216</v>
      </c>
    </row>
    <row r="370" spans="1:24" x14ac:dyDescent="0.3">
      <c r="A370" s="5">
        <v>410</v>
      </c>
      <c r="B370" s="21">
        <v>171</v>
      </c>
      <c r="C370" s="3" t="s">
        <v>187</v>
      </c>
      <c r="D370" s="4" t="s">
        <v>263</v>
      </c>
      <c r="E370" s="11" t="s">
        <v>2548</v>
      </c>
      <c r="F370" s="18" t="s">
        <v>791</v>
      </c>
      <c r="G370" s="3" t="s">
        <v>186</v>
      </c>
      <c r="H370" s="4" t="s">
        <v>262</v>
      </c>
      <c r="K370" s="8" t="s">
        <v>1085</v>
      </c>
      <c r="M370" s="35">
        <v>0.5</v>
      </c>
      <c r="S370" t="s">
        <v>1350</v>
      </c>
      <c r="T370" s="11" t="s">
        <v>1272</v>
      </c>
      <c r="U370" s="11" t="s">
        <v>685</v>
      </c>
      <c r="V370" s="11" t="s">
        <v>3501</v>
      </c>
      <c r="W370" s="54">
        <f>INDEX([1]ACOMPANHAMENTO!H:H,MATCH(A370,[1]ACOMPANHAMENTO!A:A,0))</f>
        <v>45870</v>
      </c>
      <c r="X370" s="11">
        <f t="shared" ca="1" si="5"/>
        <v>-63</v>
      </c>
    </row>
    <row r="371" spans="1:24" x14ac:dyDescent="0.3">
      <c r="A371" s="5">
        <v>411</v>
      </c>
      <c r="B371" s="21">
        <v>153</v>
      </c>
      <c r="C371" s="3" t="s">
        <v>166</v>
      </c>
      <c r="D371" s="4" t="s">
        <v>382</v>
      </c>
      <c r="E371" s="11" t="s">
        <v>2548</v>
      </c>
      <c r="F371" s="18" t="s">
        <v>792</v>
      </c>
      <c r="G371" s="3" t="s">
        <v>165</v>
      </c>
      <c r="H371" s="4" t="s">
        <v>381</v>
      </c>
      <c r="K371" s="8" t="s">
        <v>1104</v>
      </c>
      <c r="S371" t="s">
        <v>1399</v>
      </c>
      <c r="T371" s="11" t="s">
        <v>1272</v>
      </c>
      <c r="U371" s="11" t="s">
        <v>878</v>
      </c>
      <c r="V371" s="11" t="s">
        <v>2815</v>
      </c>
      <c r="W371" s="54">
        <f>INDEX([1]ACOMPANHAMENTO!H:H,MATCH(A371,[1]ACOMPANHAMENTO!A:A,0))</f>
        <v>45778</v>
      </c>
      <c r="X371" s="11">
        <f t="shared" ca="1" si="5"/>
        <v>-155</v>
      </c>
    </row>
    <row r="372" spans="1:24" x14ac:dyDescent="0.3">
      <c r="A372" s="12">
        <v>412</v>
      </c>
      <c r="B372" s="22">
        <v>162</v>
      </c>
      <c r="C372" s="3" t="s">
        <v>14</v>
      </c>
      <c r="D372" s="4" t="s">
        <v>15</v>
      </c>
      <c r="E372" s="13" t="s">
        <v>2827</v>
      </c>
      <c r="F372" s="19" t="s">
        <v>793</v>
      </c>
      <c r="G372" s="15" t="s">
        <v>80</v>
      </c>
      <c r="H372" s="16" t="s">
        <v>81</v>
      </c>
      <c r="K372" s="31" t="s">
        <v>1052</v>
      </c>
      <c r="L372" s="33"/>
      <c r="M372" s="36"/>
      <c r="N372" s="33"/>
      <c r="O372" s="33"/>
      <c r="P372" s="33"/>
      <c r="Q372" s="33"/>
      <c r="R372" s="13"/>
      <c r="S372" s="13" t="s">
        <v>1272</v>
      </c>
      <c r="T372" s="13" t="s">
        <v>1272</v>
      </c>
      <c r="U372" s="13" t="s">
        <v>695</v>
      </c>
      <c r="V372" s="13" t="s">
        <v>2850</v>
      </c>
      <c r="W372" s="54">
        <f>INDEX([1]ACOMPANHAMENTO!H:H,MATCH(A372,[1]ACOMPANHAMENTO!A:A,0))</f>
        <v>41699</v>
      </c>
      <c r="X372" s="11">
        <f t="shared" ca="1" si="5"/>
        <v>-4234</v>
      </c>
    </row>
    <row r="373" spans="1:24" x14ac:dyDescent="0.3">
      <c r="A373" s="5">
        <v>413</v>
      </c>
      <c r="B373" s="21">
        <v>23</v>
      </c>
      <c r="C373" s="3" t="s">
        <v>84</v>
      </c>
      <c r="D373" s="4" t="s">
        <v>344</v>
      </c>
      <c r="E373" s="11" t="s">
        <v>2827</v>
      </c>
      <c r="F373" s="18" t="s">
        <v>794</v>
      </c>
      <c r="G373" s="3" t="s">
        <v>85</v>
      </c>
      <c r="H373" s="4" t="s">
        <v>345</v>
      </c>
      <c r="K373" s="8" t="s">
        <v>1074</v>
      </c>
      <c r="M373" s="35">
        <v>0.03</v>
      </c>
      <c r="S373" t="s">
        <v>1224</v>
      </c>
      <c r="T373" s="11" t="s">
        <v>1225</v>
      </c>
      <c r="U373" s="11" t="s">
        <v>794</v>
      </c>
      <c r="V373" s="11" t="s">
        <v>3081</v>
      </c>
      <c r="W373" s="54">
        <f>INDEX([1]ACOMPANHAMENTO!H:H,MATCH(A373,[1]ACOMPANHAMENTO!A:A,0))</f>
        <v>46082</v>
      </c>
      <c r="X373" s="11">
        <f t="shared" ca="1" si="5"/>
        <v>149</v>
      </c>
    </row>
    <row r="374" spans="1:24" x14ac:dyDescent="0.3">
      <c r="A374" s="5">
        <v>414</v>
      </c>
      <c r="B374" s="21">
        <v>177</v>
      </c>
      <c r="C374" s="3" t="s">
        <v>190</v>
      </c>
      <c r="D374" s="4" t="s">
        <v>264</v>
      </c>
      <c r="E374" s="11" t="s">
        <v>2156</v>
      </c>
      <c r="F374" s="18" t="s">
        <v>795</v>
      </c>
      <c r="G374" s="3" t="s">
        <v>191</v>
      </c>
      <c r="H374" s="4" t="s">
        <v>1040</v>
      </c>
      <c r="K374" s="8" t="s">
        <v>1052</v>
      </c>
      <c r="L374" s="32">
        <v>0.03</v>
      </c>
      <c r="S374" t="s">
        <v>1369</v>
      </c>
      <c r="T374" s="11" t="s">
        <v>1368</v>
      </c>
      <c r="U374" s="11" t="s">
        <v>3633</v>
      </c>
      <c r="V374" s="11" t="s">
        <v>3502</v>
      </c>
      <c r="W374" s="54">
        <f>INDEX([1]ACOMPANHAMENTO!H:H,MATCH(A374,[1]ACOMPANHAMENTO!A:A,0))</f>
        <v>45809</v>
      </c>
      <c r="X374" s="11">
        <f t="shared" ca="1" si="5"/>
        <v>-124</v>
      </c>
    </row>
    <row r="375" spans="1:24" s="13" customFormat="1" x14ac:dyDescent="0.3">
      <c r="A375" s="5">
        <v>415</v>
      </c>
      <c r="B375" s="21">
        <v>123</v>
      </c>
      <c r="C375" s="3" t="s">
        <v>153</v>
      </c>
      <c r="D375" s="4" t="s">
        <v>378</v>
      </c>
      <c r="E375" s="11" t="s">
        <v>2156</v>
      </c>
      <c r="F375" s="18" t="s">
        <v>796</v>
      </c>
      <c r="G375" s="3" t="s">
        <v>150</v>
      </c>
      <c r="H375" s="4" t="s">
        <v>376</v>
      </c>
      <c r="I375" s="5"/>
      <c r="J375" s="5"/>
      <c r="K375" s="8" t="s">
        <v>1090</v>
      </c>
      <c r="L375" s="32"/>
      <c r="M375" s="35"/>
      <c r="N375" s="32"/>
      <c r="O375" s="32"/>
      <c r="P375" s="32"/>
      <c r="Q375" s="32"/>
      <c r="R375" s="11"/>
      <c r="S375" t="s">
        <v>1321</v>
      </c>
      <c r="T375" s="11" t="s">
        <v>1272</v>
      </c>
      <c r="U375" s="11" t="s">
        <v>3627</v>
      </c>
      <c r="V375" s="11" t="s">
        <v>3503</v>
      </c>
      <c r="W375" s="54">
        <f>INDEX([1]ACOMPANHAMENTO!H:H,MATCH(A375,[1]ACOMPANHAMENTO!A:A,0))</f>
        <v>45809</v>
      </c>
      <c r="X375" s="11">
        <f t="shared" ca="1" si="5"/>
        <v>-124</v>
      </c>
    </row>
    <row r="376" spans="1:24" x14ac:dyDescent="0.3">
      <c r="A376" s="5">
        <v>416</v>
      </c>
      <c r="B376" s="21">
        <v>148</v>
      </c>
      <c r="C376" s="3" t="s">
        <v>193</v>
      </c>
      <c r="D376" s="4" t="s">
        <v>396</v>
      </c>
      <c r="E376" s="11" t="s">
        <v>2156</v>
      </c>
      <c r="F376" s="18" t="s">
        <v>797</v>
      </c>
      <c r="G376" s="3" t="s">
        <v>192</v>
      </c>
      <c r="H376" s="4" t="s">
        <v>395</v>
      </c>
      <c r="K376" s="8" t="s">
        <v>1090</v>
      </c>
      <c r="S376" t="s">
        <v>1376</v>
      </c>
      <c r="T376" s="11" t="s">
        <v>1496</v>
      </c>
      <c r="U376" s="11" t="s">
        <v>667</v>
      </c>
      <c r="V376" s="11" t="s">
        <v>2338</v>
      </c>
      <c r="W376" s="54">
        <f>INDEX([1]ACOMPANHAMENTO!H:H,MATCH(A376,[1]ACOMPANHAMENTO!A:A,0))</f>
        <v>45809</v>
      </c>
      <c r="X376" s="11">
        <f t="shared" ca="1" si="5"/>
        <v>-124</v>
      </c>
    </row>
    <row r="377" spans="1:24" x14ac:dyDescent="0.3">
      <c r="A377" s="5">
        <v>417</v>
      </c>
      <c r="B377" s="21">
        <v>189</v>
      </c>
      <c r="C377" s="3" t="s">
        <v>246</v>
      </c>
      <c r="D377" s="4" t="s">
        <v>423</v>
      </c>
      <c r="E377" s="11" t="s">
        <v>2156</v>
      </c>
      <c r="F377" s="18" t="s">
        <v>798</v>
      </c>
      <c r="G377" s="3" t="s">
        <v>216</v>
      </c>
      <c r="H377" s="4" t="s">
        <v>411</v>
      </c>
      <c r="K377" s="8" t="s">
        <v>1105</v>
      </c>
      <c r="S377" t="s">
        <v>1400</v>
      </c>
      <c r="T377" s="11" t="s">
        <v>1401</v>
      </c>
      <c r="U377" s="11" t="s">
        <v>816</v>
      </c>
      <c r="V377" s="11" t="s">
        <v>3504</v>
      </c>
      <c r="W377" s="54">
        <f>INDEX([1]ACOMPANHAMENTO!H:H,MATCH(A377,[1]ACOMPANHAMENTO!A:A,0))</f>
        <v>46174</v>
      </c>
      <c r="X377" s="11">
        <f t="shared" ca="1" si="5"/>
        <v>241</v>
      </c>
    </row>
    <row r="378" spans="1:24" x14ac:dyDescent="0.3">
      <c r="A378" s="5">
        <v>418</v>
      </c>
      <c r="B378" s="21">
        <v>69</v>
      </c>
      <c r="C378" s="3" t="s">
        <v>65</v>
      </c>
      <c r="D378" s="4" t="s">
        <v>66</v>
      </c>
      <c r="E378" s="11" t="s">
        <v>2827</v>
      </c>
      <c r="F378" s="18" t="s">
        <v>799</v>
      </c>
      <c r="G378" s="3" t="s">
        <v>63</v>
      </c>
      <c r="H378" s="4" t="s">
        <v>64</v>
      </c>
      <c r="K378" s="8" t="s">
        <v>1067</v>
      </c>
      <c r="M378" s="35">
        <v>0.03</v>
      </c>
      <c r="S378" t="s">
        <v>1214</v>
      </c>
      <c r="T378" s="11" t="s">
        <v>1215</v>
      </c>
      <c r="U378" s="11" t="s">
        <v>3614</v>
      </c>
      <c r="V378" s="11" t="s">
        <v>3260</v>
      </c>
      <c r="W378" s="54">
        <f>INDEX([1]ACOMPANHAMENTO!H:H,MATCH(A378,[1]ACOMPANHAMENTO!A:A,0))</f>
        <v>45717</v>
      </c>
      <c r="X378" s="11">
        <f t="shared" ca="1" si="5"/>
        <v>-216</v>
      </c>
    </row>
    <row r="379" spans="1:24" x14ac:dyDescent="0.3">
      <c r="A379" s="5">
        <v>419</v>
      </c>
      <c r="B379" s="21">
        <v>188</v>
      </c>
      <c r="C379" s="3" t="s">
        <v>144</v>
      </c>
      <c r="D379" s="4" t="s">
        <v>371</v>
      </c>
      <c r="E379" s="11" t="s">
        <v>2548</v>
      </c>
      <c r="F379" s="18" t="s">
        <v>800</v>
      </c>
      <c r="G379" s="3" t="s">
        <v>143</v>
      </c>
      <c r="H379" s="4" t="s">
        <v>370</v>
      </c>
      <c r="K379" s="8" t="s">
        <v>1085</v>
      </c>
      <c r="S379" t="s">
        <v>1381</v>
      </c>
      <c r="T379" s="11" t="s">
        <v>1382</v>
      </c>
      <c r="U379" s="11" t="s">
        <v>647</v>
      </c>
      <c r="V379" s="11" t="s">
        <v>2550</v>
      </c>
      <c r="W379" s="54">
        <f>INDEX([1]ACOMPANHAMENTO!H:H,MATCH(A379,[1]ACOMPANHAMENTO!A:A,0))</f>
        <v>45870</v>
      </c>
      <c r="X379" s="11">
        <f t="shared" ca="1" si="5"/>
        <v>-63</v>
      </c>
    </row>
    <row r="380" spans="1:24" x14ac:dyDescent="0.3">
      <c r="A380" s="5">
        <v>420</v>
      </c>
      <c r="B380" s="21">
        <v>207</v>
      </c>
      <c r="C380" s="3" t="s">
        <v>204</v>
      </c>
      <c r="D380" s="4" t="s">
        <v>400</v>
      </c>
      <c r="E380" s="11" t="s">
        <v>1510</v>
      </c>
      <c r="F380" s="18" t="s">
        <v>801</v>
      </c>
      <c r="G380" s="3" t="s">
        <v>205</v>
      </c>
      <c r="H380" s="4" t="s">
        <v>401</v>
      </c>
      <c r="K380" s="8" t="s">
        <v>1067</v>
      </c>
      <c r="S380" t="s">
        <v>1402</v>
      </c>
      <c r="T380" s="11" t="s">
        <v>1403</v>
      </c>
      <c r="U380" s="11" t="s">
        <v>3593</v>
      </c>
      <c r="V380" s="11" t="s">
        <v>1674</v>
      </c>
      <c r="W380" s="54">
        <f>INDEX([1]ACOMPANHAMENTO!H:H,MATCH(A380,[1]ACOMPANHAMENTO!A:A,0))</f>
        <v>45962</v>
      </c>
      <c r="X380" s="11">
        <f t="shared" ca="1" si="5"/>
        <v>29</v>
      </c>
    </row>
    <row r="381" spans="1:24" x14ac:dyDescent="0.3">
      <c r="A381" s="5">
        <v>421</v>
      </c>
      <c r="B381" s="21">
        <v>131</v>
      </c>
      <c r="C381" s="5" t="s">
        <v>171</v>
      </c>
      <c r="D381" s="11" t="s">
        <v>387</v>
      </c>
      <c r="E381" s="11" t="s">
        <v>2548</v>
      </c>
      <c r="F381" s="18" t="s">
        <v>802</v>
      </c>
      <c r="G381" s="3" t="s">
        <v>170</v>
      </c>
      <c r="H381" s="4" t="s">
        <v>437</v>
      </c>
      <c r="K381" s="8" t="s">
        <v>1094</v>
      </c>
      <c r="S381" t="s">
        <v>1335</v>
      </c>
      <c r="T381" s="11" t="s">
        <v>1331</v>
      </c>
      <c r="U381" s="11" t="s">
        <v>663</v>
      </c>
      <c r="V381" s="11" t="s">
        <v>3505</v>
      </c>
      <c r="W381" s="54">
        <f>INDEX([1]ACOMPANHAMENTO!H:H,MATCH(A381,[1]ACOMPANHAMENTO!A:A,0))</f>
        <v>45778</v>
      </c>
      <c r="X381" s="11">
        <f t="shared" ca="1" si="5"/>
        <v>-155</v>
      </c>
    </row>
    <row r="382" spans="1:24" x14ac:dyDescent="0.3">
      <c r="A382" s="5">
        <v>422</v>
      </c>
      <c r="B382" s="21">
        <v>135</v>
      </c>
      <c r="C382" s="5" t="s">
        <v>174</v>
      </c>
      <c r="D382" s="11" t="s">
        <v>175</v>
      </c>
      <c r="E382" s="11" t="s">
        <v>2548</v>
      </c>
      <c r="F382" s="18" t="s">
        <v>803</v>
      </c>
      <c r="G382" s="3" t="s">
        <v>172</v>
      </c>
      <c r="H382" s="4" t="s">
        <v>529</v>
      </c>
      <c r="K382" s="8" t="s">
        <v>1101</v>
      </c>
      <c r="S382" t="s">
        <v>1374</v>
      </c>
      <c r="T382" s="11" t="s">
        <v>1375</v>
      </c>
      <c r="U382" s="11" t="s">
        <v>664</v>
      </c>
      <c r="V382" s="11" t="s">
        <v>2608</v>
      </c>
      <c r="W382" s="54">
        <f>INDEX([1]ACOMPANHAMENTO!H:H,MATCH(A382,[1]ACOMPANHAMENTO!A:A,0))</f>
        <v>45962</v>
      </c>
      <c r="X382" s="11">
        <f t="shared" ca="1" si="5"/>
        <v>29</v>
      </c>
    </row>
    <row r="383" spans="1:24" x14ac:dyDescent="0.3">
      <c r="A383" s="5">
        <v>423</v>
      </c>
      <c r="B383" s="21">
        <v>190</v>
      </c>
      <c r="C383" s="3" t="s">
        <v>84</v>
      </c>
      <c r="D383" s="4" t="s">
        <v>344</v>
      </c>
      <c r="E383" s="11" t="s">
        <v>2827</v>
      </c>
      <c r="F383" s="18" t="s">
        <v>804</v>
      </c>
      <c r="G383" s="3" t="s">
        <v>85</v>
      </c>
      <c r="H383" s="4" t="s">
        <v>345</v>
      </c>
      <c r="K383" s="8" t="s">
        <v>1052</v>
      </c>
      <c r="M383" s="35">
        <v>0.03</v>
      </c>
      <c r="S383" t="s">
        <v>1404</v>
      </c>
      <c r="T383" s="11" t="s">
        <v>1486</v>
      </c>
      <c r="U383" s="11" t="s">
        <v>794</v>
      </c>
      <c r="V383" s="11" t="s">
        <v>3180</v>
      </c>
      <c r="W383" s="54">
        <f>INDEX([1]ACOMPANHAMENTO!H:H,MATCH(A383,[1]ACOMPANHAMENTO!A:A,0))</f>
        <v>46082</v>
      </c>
      <c r="X383" s="11">
        <f t="shared" ca="1" si="5"/>
        <v>149</v>
      </c>
    </row>
    <row r="384" spans="1:24" x14ac:dyDescent="0.3">
      <c r="A384" s="5">
        <v>424</v>
      </c>
      <c r="B384" s="21">
        <v>94</v>
      </c>
      <c r="C384" s="3" t="s">
        <v>98</v>
      </c>
      <c r="D384" s="4" t="s">
        <v>352</v>
      </c>
      <c r="E384" s="11" t="s">
        <v>2827</v>
      </c>
      <c r="F384" s="18" t="s">
        <v>805</v>
      </c>
      <c r="G384" s="3" t="s">
        <v>97</v>
      </c>
      <c r="H384" s="4" t="s">
        <v>99</v>
      </c>
      <c r="K384" s="8" t="s">
        <v>1051</v>
      </c>
      <c r="S384" t="s">
        <v>1243</v>
      </c>
      <c r="T384" s="11" t="s">
        <v>1244</v>
      </c>
      <c r="U384" s="11" t="s">
        <v>584</v>
      </c>
      <c r="V384" s="11" t="s">
        <v>3431</v>
      </c>
      <c r="W384" s="54">
        <f>INDEX([1]ACOMPANHAMENTO!H:H,MATCH(A384,[1]ACOMPANHAMENTO!A:A,0))</f>
        <v>45505</v>
      </c>
      <c r="X384" s="11">
        <f t="shared" ca="1" si="5"/>
        <v>-428</v>
      </c>
    </row>
    <row r="385" spans="1:24" x14ac:dyDescent="0.3">
      <c r="A385" s="5">
        <v>425</v>
      </c>
      <c r="B385" s="21">
        <v>177</v>
      </c>
      <c r="C385" s="3" t="s">
        <v>190</v>
      </c>
      <c r="D385" s="4" t="s">
        <v>264</v>
      </c>
      <c r="E385" s="11" t="s">
        <v>2156</v>
      </c>
      <c r="F385" s="18" t="s">
        <v>823</v>
      </c>
      <c r="G385" s="3" t="s">
        <v>191</v>
      </c>
      <c r="H385" s="4" t="s">
        <v>1040</v>
      </c>
      <c r="K385" s="8" t="s">
        <v>1052</v>
      </c>
      <c r="S385" t="s">
        <v>1369</v>
      </c>
      <c r="T385" s="11" t="s">
        <v>1368</v>
      </c>
      <c r="U385" s="11" t="s">
        <v>3633</v>
      </c>
      <c r="V385" s="11" t="s">
        <v>3506</v>
      </c>
      <c r="W385" s="54">
        <f>INDEX([1]ACOMPANHAMENTO!H:H,MATCH(A385,[1]ACOMPANHAMENTO!A:A,0))</f>
        <v>45809</v>
      </c>
      <c r="X385" s="11">
        <f t="shared" ca="1" si="5"/>
        <v>-124</v>
      </c>
    </row>
    <row r="386" spans="1:24" x14ac:dyDescent="0.3">
      <c r="A386" s="5">
        <v>426</v>
      </c>
      <c r="B386" s="21">
        <v>191</v>
      </c>
      <c r="C386" s="3" t="s">
        <v>95</v>
      </c>
      <c r="D386" s="4" t="s">
        <v>351</v>
      </c>
      <c r="E386" s="11" t="s">
        <v>2156</v>
      </c>
      <c r="F386" s="18" t="s">
        <v>806</v>
      </c>
      <c r="G386" s="3" t="s">
        <v>96</v>
      </c>
      <c r="H386" s="4" t="s">
        <v>103</v>
      </c>
      <c r="K386" s="8" t="s">
        <v>1090</v>
      </c>
      <c r="S386" t="s">
        <v>1405</v>
      </c>
      <c r="T386" s="11" t="s">
        <v>1406</v>
      </c>
      <c r="U386" s="11" t="s">
        <v>852</v>
      </c>
      <c r="V386" s="11" t="s">
        <v>2372</v>
      </c>
      <c r="W386" s="54">
        <f>INDEX([1]ACOMPANHAMENTO!H:H,MATCH(A386,[1]ACOMPANHAMENTO!A:A,0))</f>
        <v>45809</v>
      </c>
      <c r="X386" s="11">
        <f t="shared" ca="1" si="5"/>
        <v>-124</v>
      </c>
    </row>
    <row r="387" spans="1:24" x14ac:dyDescent="0.3">
      <c r="A387" s="5">
        <v>427</v>
      </c>
      <c r="B387" s="21">
        <v>80</v>
      </c>
      <c r="C387" s="3" t="s">
        <v>111</v>
      </c>
      <c r="D387" s="4" t="s">
        <v>3669</v>
      </c>
      <c r="E387" s="11" t="s">
        <v>2827</v>
      </c>
      <c r="F387" s="18" t="s">
        <v>807</v>
      </c>
      <c r="G387" s="3" t="s">
        <v>109</v>
      </c>
      <c r="H387" s="4" t="s">
        <v>110</v>
      </c>
      <c r="K387" s="8" t="s">
        <v>1055</v>
      </c>
      <c r="S387" t="s">
        <v>1263</v>
      </c>
      <c r="T387" s="11" t="s">
        <v>1264</v>
      </c>
      <c r="U387" s="11" t="s">
        <v>3620</v>
      </c>
      <c r="V387" s="11" t="s">
        <v>3507</v>
      </c>
      <c r="W387" s="54">
        <f>INDEX([1]ACOMPANHAMENTO!H:H,MATCH(A387,[1]ACOMPANHAMENTO!A:A,0))</f>
        <v>45809</v>
      </c>
      <c r="X387" s="11">
        <f t="shared" ref="X387:X450" ca="1" si="6">W387-TODAY()</f>
        <v>-124</v>
      </c>
    </row>
    <row r="388" spans="1:24" x14ac:dyDescent="0.3">
      <c r="A388" s="5">
        <v>428</v>
      </c>
      <c r="B388" s="21">
        <v>192</v>
      </c>
      <c r="C388" s="3" t="s">
        <v>246</v>
      </c>
      <c r="D388" s="4" t="s">
        <v>486</v>
      </c>
      <c r="E388" s="11" t="s">
        <v>2156</v>
      </c>
      <c r="F388" s="18" t="s">
        <v>808</v>
      </c>
      <c r="G388" s="3" t="s">
        <v>484</v>
      </c>
      <c r="H388" s="4" t="s">
        <v>485</v>
      </c>
      <c r="K388" s="8" t="s">
        <v>1106</v>
      </c>
      <c r="S388" t="s">
        <v>1408</v>
      </c>
      <c r="T388" s="11" t="s">
        <v>1407</v>
      </c>
      <c r="U388" s="11" t="s">
        <v>3657</v>
      </c>
      <c r="V388" s="11" t="s">
        <v>2389</v>
      </c>
      <c r="W388" s="54">
        <f>INDEX([1]ACOMPANHAMENTO!H:H,MATCH(A388,[1]ACOMPANHAMENTO!A:A,0))</f>
        <v>45809</v>
      </c>
      <c r="X388" s="11">
        <f t="shared" ca="1" si="6"/>
        <v>-124</v>
      </c>
    </row>
    <row r="389" spans="1:24" x14ac:dyDescent="0.3">
      <c r="A389" s="5">
        <v>429</v>
      </c>
      <c r="B389" s="21">
        <v>180</v>
      </c>
      <c r="C389" s="3" t="s">
        <v>196</v>
      </c>
      <c r="D389" s="4" t="s">
        <v>487</v>
      </c>
      <c r="E389" s="11" t="s">
        <v>2156</v>
      </c>
      <c r="F389" s="18" t="s">
        <v>809</v>
      </c>
      <c r="G389" s="3" t="s">
        <v>195</v>
      </c>
      <c r="H389" s="4" t="s">
        <v>397</v>
      </c>
      <c r="K389" s="8" t="s">
        <v>1052</v>
      </c>
      <c r="S389" t="s">
        <v>1385</v>
      </c>
      <c r="T389" s="11" t="s">
        <v>1384</v>
      </c>
      <c r="V389" s="11" t="s">
        <v>2535</v>
      </c>
      <c r="W389" s="54">
        <f>INDEX([1]ACOMPANHAMENTO!H:H,MATCH(A389,[1]ACOMPANHAMENTO!A:A,0))</f>
        <v>45809</v>
      </c>
      <c r="X389" s="11">
        <f t="shared" ca="1" si="6"/>
        <v>-124</v>
      </c>
    </row>
    <row r="390" spans="1:24" x14ac:dyDescent="0.3">
      <c r="A390" s="5">
        <v>430</v>
      </c>
      <c r="B390" s="21">
        <v>180</v>
      </c>
      <c r="C390" s="3" t="s">
        <v>196</v>
      </c>
      <c r="D390" s="4" t="s">
        <v>487</v>
      </c>
      <c r="E390" s="11" t="s">
        <v>2156</v>
      </c>
      <c r="F390" s="18" t="s">
        <v>809</v>
      </c>
      <c r="G390" s="3" t="s">
        <v>195</v>
      </c>
      <c r="H390" s="4" t="s">
        <v>397</v>
      </c>
      <c r="K390" s="8" t="s">
        <v>1052</v>
      </c>
      <c r="S390" t="s">
        <v>1385</v>
      </c>
      <c r="T390" s="11" t="s">
        <v>1384</v>
      </c>
      <c r="V390" s="11" t="s">
        <v>2535</v>
      </c>
      <c r="W390" s="54">
        <f>INDEX([1]ACOMPANHAMENTO!H:H,MATCH(A390,[1]ACOMPANHAMENTO!A:A,0))</f>
        <v>45809</v>
      </c>
      <c r="X390" s="11">
        <f t="shared" ca="1" si="6"/>
        <v>-124</v>
      </c>
    </row>
    <row r="391" spans="1:24" x14ac:dyDescent="0.3">
      <c r="A391" s="5">
        <v>431</v>
      </c>
      <c r="B391" s="21">
        <v>99</v>
      </c>
      <c r="C391" s="3" t="s">
        <v>95</v>
      </c>
      <c r="D391" s="4" t="s">
        <v>351</v>
      </c>
      <c r="E391" s="11" t="s">
        <v>2827</v>
      </c>
      <c r="F391" s="18" t="s">
        <v>810</v>
      </c>
      <c r="G391" s="3" t="s">
        <v>96</v>
      </c>
      <c r="H391" s="4" t="s">
        <v>103</v>
      </c>
      <c r="K391" s="8" t="s">
        <v>1052</v>
      </c>
      <c r="M391" s="35">
        <v>0.02</v>
      </c>
      <c r="S391" t="s">
        <v>1242</v>
      </c>
      <c r="T391" s="11" t="s">
        <v>1241</v>
      </c>
      <c r="U391" s="11" t="s">
        <v>852</v>
      </c>
      <c r="V391" s="11" t="s">
        <v>2933</v>
      </c>
      <c r="W391" s="54">
        <f>INDEX([1]ACOMPANHAMENTO!H:H,MATCH(A391,[1]ACOMPANHAMENTO!A:A,0))</f>
        <v>45809</v>
      </c>
      <c r="X391" s="11">
        <f t="shared" ca="1" si="6"/>
        <v>-124</v>
      </c>
    </row>
    <row r="392" spans="1:24" x14ac:dyDescent="0.3">
      <c r="A392" s="5">
        <v>432</v>
      </c>
      <c r="B392" s="21">
        <v>135</v>
      </c>
      <c r="C392" s="5" t="s">
        <v>174</v>
      </c>
      <c r="D392" s="11" t="s">
        <v>175</v>
      </c>
      <c r="E392" s="11" t="s">
        <v>2548</v>
      </c>
      <c r="F392" s="18" t="s">
        <v>811</v>
      </c>
      <c r="G392" s="3" t="s">
        <v>172</v>
      </c>
      <c r="H392" s="4" t="s">
        <v>499</v>
      </c>
      <c r="K392" s="8" t="s">
        <v>1101</v>
      </c>
      <c r="S392" t="s">
        <v>1374</v>
      </c>
      <c r="T392" s="11" t="s">
        <v>1375</v>
      </c>
      <c r="U392" s="11" t="s">
        <v>664</v>
      </c>
      <c r="V392" s="11" t="s">
        <v>2592</v>
      </c>
      <c r="W392" s="54">
        <f>INDEX([1]ACOMPANHAMENTO!H:H,MATCH(A392,[1]ACOMPANHAMENTO!A:A,0))</f>
        <v>45962</v>
      </c>
      <c r="X392" s="11">
        <f t="shared" ca="1" si="6"/>
        <v>29</v>
      </c>
    </row>
    <row r="393" spans="1:24" x14ac:dyDescent="0.3">
      <c r="A393" s="5">
        <v>433</v>
      </c>
      <c r="B393" s="21">
        <v>129</v>
      </c>
      <c r="C393" s="3" t="s">
        <v>163</v>
      </c>
      <c r="D393" s="4" t="s">
        <v>164</v>
      </c>
      <c r="E393" s="11" t="s">
        <v>1510</v>
      </c>
      <c r="F393" s="18" t="s">
        <v>812</v>
      </c>
      <c r="G393" s="3" t="s">
        <v>161</v>
      </c>
      <c r="H393" s="4" t="s">
        <v>162</v>
      </c>
      <c r="K393" s="8" t="s">
        <v>1092</v>
      </c>
      <c r="S393" t="s">
        <v>1328</v>
      </c>
      <c r="T393" s="11" t="s">
        <v>1327</v>
      </c>
      <c r="U393" s="11" t="s">
        <v>906</v>
      </c>
      <c r="V393" s="11" t="s">
        <v>3508</v>
      </c>
      <c r="W393" s="54">
        <f>INDEX([1]ACOMPANHAMENTO!H:H,MATCH(A393,[1]ACOMPANHAMENTO!A:A,0))</f>
        <v>45809</v>
      </c>
      <c r="X393" s="11">
        <f t="shared" ca="1" si="6"/>
        <v>-124</v>
      </c>
    </row>
    <row r="394" spans="1:24" x14ac:dyDescent="0.3">
      <c r="A394" s="5">
        <v>434</v>
      </c>
      <c r="B394" s="21">
        <v>75</v>
      </c>
      <c r="C394" s="3" t="s">
        <v>2</v>
      </c>
      <c r="D394" s="4" t="s">
        <v>20</v>
      </c>
      <c r="E394" s="11" t="s">
        <v>2827</v>
      </c>
      <c r="F394" s="20" t="s">
        <v>1035</v>
      </c>
      <c r="G394" s="3" t="s">
        <v>1</v>
      </c>
      <c r="H394" s="4" t="s">
        <v>257</v>
      </c>
      <c r="K394" s="8" t="s">
        <v>1052</v>
      </c>
      <c r="M394" s="35">
        <v>0.02</v>
      </c>
      <c r="N394" s="32">
        <v>0.05</v>
      </c>
      <c r="O394" s="32">
        <v>0.1</v>
      </c>
      <c r="P394" s="32">
        <v>0.15</v>
      </c>
      <c r="S394" t="s">
        <v>1150</v>
      </c>
      <c r="T394" s="11" t="s">
        <v>1135</v>
      </c>
      <c r="U394" s="11" t="s">
        <v>704</v>
      </c>
      <c r="V394" s="11" t="s">
        <v>3201</v>
      </c>
      <c r="W394" s="54">
        <f>INDEX([1]ACOMPANHAMENTO!H:H,MATCH(A394,[1]ACOMPANHAMENTO!A:A,0))</f>
        <v>45809</v>
      </c>
      <c r="X394" s="11">
        <f t="shared" ca="1" si="6"/>
        <v>-124</v>
      </c>
    </row>
    <row r="395" spans="1:24" x14ac:dyDescent="0.3">
      <c r="A395" s="5">
        <v>435</v>
      </c>
      <c r="B395" s="21">
        <v>20</v>
      </c>
      <c r="C395" s="3" t="s">
        <v>14</v>
      </c>
      <c r="D395" s="4" t="s">
        <v>15</v>
      </c>
      <c r="E395" s="11" t="s">
        <v>2827</v>
      </c>
      <c r="F395" s="18" t="s">
        <v>813</v>
      </c>
      <c r="G395" s="3" t="s">
        <v>80</v>
      </c>
      <c r="H395" s="4" t="s">
        <v>473</v>
      </c>
      <c r="K395" s="8" t="s">
        <v>1052</v>
      </c>
      <c r="M395" s="35">
        <v>0.03</v>
      </c>
      <c r="S395" t="s">
        <v>1493</v>
      </c>
      <c r="T395" s="11" t="s">
        <v>1221</v>
      </c>
      <c r="U395" s="11" t="s">
        <v>695</v>
      </c>
      <c r="V395" s="11" t="s">
        <v>2863</v>
      </c>
      <c r="W395" s="54">
        <f>INDEX([1]ACOMPANHAMENTO!H:H,MATCH(A395,[1]ACOMPANHAMENTO!A:A,0))</f>
        <v>45352</v>
      </c>
      <c r="X395" s="11">
        <f t="shared" ca="1" si="6"/>
        <v>-581</v>
      </c>
    </row>
    <row r="396" spans="1:24" x14ac:dyDescent="0.3">
      <c r="A396" s="5">
        <v>436</v>
      </c>
      <c r="B396" s="21">
        <v>43</v>
      </c>
      <c r="C396" s="3" t="s">
        <v>58</v>
      </c>
      <c r="D396" s="4" t="s">
        <v>59</v>
      </c>
      <c r="E396" s="11" t="s">
        <v>2827</v>
      </c>
      <c r="F396" s="18" t="s">
        <v>814</v>
      </c>
      <c r="G396" s="3" t="s">
        <v>56</v>
      </c>
      <c r="H396" s="4" t="s">
        <v>57</v>
      </c>
      <c r="K396" s="8" t="s">
        <v>1052</v>
      </c>
      <c r="M396" s="35">
        <v>0.03</v>
      </c>
      <c r="S396" t="s">
        <v>1200</v>
      </c>
      <c r="T396" s="11" t="s">
        <v>1201</v>
      </c>
      <c r="U396" s="11" t="s">
        <v>3612</v>
      </c>
      <c r="V396" s="11" t="s">
        <v>2917</v>
      </c>
      <c r="W396" s="54">
        <f>INDEX([1]ACOMPANHAMENTO!H:H,MATCH(A396,[1]ACOMPANHAMENTO!A:A,0))</f>
        <v>45748</v>
      </c>
      <c r="X396" s="11">
        <f t="shared" ca="1" si="6"/>
        <v>-185</v>
      </c>
    </row>
    <row r="397" spans="1:24" x14ac:dyDescent="0.3">
      <c r="A397" s="5">
        <v>437</v>
      </c>
      <c r="B397" s="21">
        <v>180</v>
      </c>
      <c r="C397" s="3" t="s">
        <v>196</v>
      </c>
      <c r="D397" s="4" t="s">
        <v>487</v>
      </c>
      <c r="E397" s="11" t="s">
        <v>2156</v>
      </c>
      <c r="F397" s="18" t="s">
        <v>815</v>
      </c>
      <c r="G397" s="3" t="s">
        <v>195</v>
      </c>
      <c r="H397" s="4" t="s">
        <v>397</v>
      </c>
      <c r="K397" s="8" t="s">
        <v>1052</v>
      </c>
      <c r="S397" t="s">
        <v>1385</v>
      </c>
      <c r="T397" s="11" t="s">
        <v>1384</v>
      </c>
      <c r="V397" s="11" t="s">
        <v>3509</v>
      </c>
      <c r="W397" s="54">
        <f>INDEX([1]ACOMPANHAMENTO!H:H,MATCH(A397,[1]ACOMPANHAMENTO!A:A,0))</f>
        <v>45809</v>
      </c>
      <c r="X397" s="11">
        <f t="shared" ca="1" si="6"/>
        <v>-124</v>
      </c>
    </row>
    <row r="398" spans="1:24" x14ac:dyDescent="0.3">
      <c r="A398" s="5">
        <v>438</v>
      </c>
      <c r="B398" s="21">
        <v>192</v>
      </c>
      <c r="C398" s="3" t="s">
        <v>246</v>
      </c>
      <c r="D398" s="4" t="s">
        <v>486</v>
      </c>
      <c r="E398" s="11" t="s">
        <v>2156</v>
      </c>
      <c r="F398" s="18" t="s">
        <v>816</v>
      </c>
      <c r="G398" s="3" t="s">
        <v>484</v>
      </c>
      <c r="H398" s="4" t="s">
        <v>485</v>
      </c>
      <c r="K398" s="8" t="s">
        <v>1106</v>
      </c>
      <c r="S398" t="s">
        <v>1408</v>
      </c>
      <c r="T398" s="11" t="s">
        <v>1407</v>
      </c>
      <c r="U398" s="11" t="s">
        <v>3657</v>
      </c>
      <c r="V398" s="11" t="s">
        <v>3510</v>
      </c>
      <c r="W398" s="54">
        <f>INDEX([1]ACOMPANHAMENTO!H:H,MATCH(A398,[1]ACOMPANHAMENTO!A:A,0))</f>
        <v>45809</v>
      </c>
      <c r="X398" s="11">
        <f t="shared" ca="1" si="6"/>
        <v>-124</v>
      </c>
    </row>
    <row r="399" spans="1:24" x14ac:dyDescent="0.3">
      <c r="A399" s="5">
        <v>439</v>
      </c>
      <c r="B399" s="21">
        <v>195</v>
      </c>
      <c r="C399" s="3" t="s">
        <v>151</v>
      </c>
      <c r="D399" s="4" t="s">
        <v>377</v>
      </c>
      <c r="E399" s="11" t="s">
        <v>2156</v>
      </c>
      <c r="F399" s="18" t="s">
        <v>817</v>
      </c>
      <c r="G399" s="3" t="s">
        <v>206</v>
      </c>
      <c r="H399" s="4" t="s">
        <v>402</v>
      </c>
      <c r="K399" s="8" t="s">
        <v>1090</v>
      </c>
      <c r="S399" t="s">
        <v>1409</v>
      </c>
      <c r="T399" s="11" t="s">
        <v>1272</v>
      </c>
      <c r="U399" s="11" t="s">
        <v>3628</v>
      </c>
      <c r="V399" s="11" t="s">
        <v>2396</v>
      </c>
      <c r="W399" s="54">
        <f>INDEX([1]ACOMPANHAMENTO!H:H,MATCH(A399,[1]ACOMPANHAMENTO!A:A,0))</f>
        <v>45809</v>
      </c>
      <c r="X399" s="11">
        <f t="shared" ca="1" si="6"/>
        <v>-124</v>
      </c>
    </row>
    <row r="400" spans="1:24" x14ac:dyDescent="0.3">
      <c r="A400" s="5">
        <v>440</v>
      </c>
      <c r="B400" s="21">
        <v>196</v>
      </c>
      <c r="C400" s="3" t="s">
        <v>491</v>
      </c>
      <c r="D400" s="4" t="s">
        <v>490</v>
      </c>
      <c r="E400" s="11" t="s">
        <v>2156</v>
      </c>
      <c r="F400" s="18" t="s">
        <v>818</v>
      </c>
      <c r="G400" s="3" t="s">
        <v>489</v>
      </c>
      <c r="H400" s="4" t="s">
        <v>488</v>
      </c>
      <c r="K400" s="8" t="s">
        <v>1090</v>
      </c>
      <c r="S400" t="s">
        <v>1410</v>
      </c>
      <c r="T400" s="11" t="s">
        <v>1411</v>
      </c>
      <c r="U400" s="11" t="s">
        <v>3658</v>
      </c>
      <c r="V400" s="11" t="s">
        <v>2231</v>
      </c>
      <c r="W400" s="54">
        <f>INDEX([1]ACOMPANHAMENTO!H:H,MATCH(A400,[1]ACOMPANHAMENTO!A:A,0))</f>
        <v>45809</v>
      </c>
      <c r="X400" s="11">
        <f t="shared" ca="1" si="6"/>
        <v>-124</v>
      </c>
    </row>
    <row r="401" spans="1:24" x14ac:dyDescent="0.3">
      <c r="A401" s="5">
        <v>441</v>
      </c>
      <c r="B401" s="21">
        <v>127</v>
      </c>
      <c r="C401" s="3" t="s">
        <v>159</v>
      </c>
      <c r="D401" s="4" t="s">
        <v>160</v>
      </c>
      <c r="E401" s="11" t="s">
        <v>2156</v>
      </c>
      <c r="F401" s="18" t="s">
        <v>819</v>
      </c>
      <c r="G401" s="3" t="s">
        <v>158</v>
      </c>
      <c r="H401" s="4" t="s">
        <v>380</v>
      </c>
      <c r="K401" s="8" t="s">
        <v>1090</v>
      </c>
      <c r="S401" t="s">
        <v>1326</v>
      </c>
      <c r="T401" s="11" t="s">
        <v>1320</v>
      </c>
      <c r="U401" s="11" t="s">
        <v>819</v>
      </c>
      <c r="V401" s="11" t="s">
        <v>2527</v>
      </c>
      <c r="W401" s="54">
        <f>INDEX([1]ACOMPANHAMENTO!H:H,MATCH(A401,[1]ACOMPANHAMENTO!A:A,0))</f>
        <v>45809</v>
      </c>
      <c r="X401" s="11">
        <f t="shared" ca="1" si="6"/>
        <v>-124</v>
      </c>
    </row>
    <row r="402" spans="1:24" x14ac:dyDescent="0.3">
      <c r="A402" s="5">
        <v>442</v>
      </c>
      <c r="B402" s="21">
        <v>31</v>
      </c>
      <c r="C402" s="3" t="s">
        <v>4</v>
      </c>
      <c r="D402" s="4" t="s">
        <v>292</v>
      </c>
      <c r="E402" s="11" t="s">
        <v>2827</v>
      </c>
      <c r="F402" s="18" t="s">
        <v>820</v>
      </c>
      <c r="G402" s="3" t="s">
        <v>53</v>
      </c>
      <c r="H402" s="4" t="s">
        <v>328</v>
      </c>
      <c r="K402" s="8" t="s">
        <v>1066</v>
      </c>
      <c r="M402" s="35">
        <v>0.03</v>
      </c>
      <c r="S402" t="s">
        <v>1192</v>
      </c>
      <c r="T402" s="11" t="s">
        <v>1193</v>
      </c>
      <c r="U402" s="11" t="s">
        <v>820</v>
      </c>
      <c r="V402" s="11" t="s">
        <v>3109</v>
      </c>
      <c r="W402" s="54">
        <f>INDEX([1]ACOMPANHAMENTO!H:H,MATCH(A402,[1]ACOMPANHAMENTO!A:A,0))</f>
        <v>45931</v>
      </c>
      <c r="X402" s="11">
        <f t="shared" ca="1" si="6"/>
        <v>-2</v>
      </c>
    </row>
    <row r="403" spans="1:24" x14ac:dyDescent="0.3">
      <c r="A403" s="5">
        <v>443</v>
      </c>
      <c r="B403" s="21">
        <v>177</v>
      </c>
      <c r="C403" s="3" t="s">
        <v>190</v>
      </c>
      <c r="D403" s="4" t="s">
        <v>264</v>
      </c>
      <c r="E403" s="11" t="s">
        <v>1510</v>
      </c>
      <c r="F403" s="18" t="s">
        <v>940</v>
      </c>
      <c r="G403" s="3" t="s">
        <v>191</v>
      </c>
      <c r="H403" s="4" t="s">
        <v>1040</v>
      </c>
      <c r="K403" s="8" t="s">
        <v>1052</v>
      </c>
      <c r="S403" t="s">
        <v>1369</v>
      </c>
      <c r="T403" s="11" t="s">
        <v>1368</v>
      </c>
      <c r="U403" s="11" t="s">
        <v>3633</v>
      </c>
      <c r="V403" s="11" t="s">
        <v>1908</v>
      </c>
      <c r="W403" s="54">
        <f>INDEX([1]ACOMPANHAMENTO!H:H,MATCH(A403,[1]ACOMPANHAMENTO!A:A,0))</f>
        <v>45809</v>
      </c>
      <c r="X403" s="11">
        <f t="shared" ca="1" si="6"/>
        <v>-124</v>
      </c>
    </row>
    <row r="404" spans="1:24" x14ac:dyDescent="0.3">
      <c r="A404" s="5">
        <v>444</v>
      </c>
      <c r="B404" s="21">
        <v>121</v>
      </c>
      <c r="C404" s="3" t="s">
        <v>189</v>
      </c>
      <c r="D404" s="4" t="s">
        <v>394</v>
      </c>
      <c r="E404" s="11" t="s">
        <v>2156</v>
      </c>
      <c r="F404" s="18" t="s">
        <v>821</v>
      </c>
      <c r="G404" s="3" t="s">
        <v>188</v>
      </c>
      <c r="H404" s="4" t="s">
        <v>393</v>
      </c>
      <c r="K404" s="8" t="s">
        <v>1085</v>
      </c>
      <c r="S404" t="s">
        <v>1366</v>
      </c>
      <c r="T404" s="11" t="s">
        <v>1365</v>
      </c>
      <c r="U404" s="11" t="s">
        <v>3632</v>
      </c>
      <c r="V404" s="11" t="s">
        <v>2533</v>
      </c>
      <c r="W404" s="54">
        <f>INDEX([1]ACOMPANHAMENTO!H:H,MATCH(A404,[1]ACOMPANHAMENTO!A:A,0))</f>
        <v>45778</v>
      </c>
      <c r="X404" s="11">
        <f t="shared" ca="1" si="6"/>
        <v>-155</v>
      </c>
    </row>
    <row r="405" spans="1:24" x14ac:dyDescent="0.3">
      <c r="A405" s="5">
        <v>445</v>
      </c>
      <c r="B405" s="21">
        <v>240</v>
      </c>
      <c r="C405" s="3" t="s">
        <v>67</v>
      </c>
      <c r="D405" s="4" t="s">
        <v>333</v>
      </c>
      <c r="E405" s="11" t="s">
        <v>2827</v>
      </c>
      <c r="F405" s="18" t="s">
        <v>822</v>
      </c>
      <c r="G405" s="3" t="s">
        <v>70</v>
      </c>
      <c r="H405" s="4" t="s">
        <v>334</v>
      </c>
      <c r="K405" s="8" t="s">
        <v>1052</v>
      </c>
      <c r="M405" s="35">
        <v>0.05</v>
      </c>
      <c r="Q405" s="11" t="s">
        <v>1070</v>
      </c>
      <c r="S405" t="s">
        <v>1412</v>
      </c>
      <c r="T405" s="11" t="s">
        <v>1413</v>
      </c>
      <c r="U405" s="11" t="s">
        <v>573</v>
      </c>
      <c r="V405" s="11" t="s">
        <v>2946</v>
      </c>
      <c r="W405" s="54">
        <f>INDEX([1]ACOMPANHAMENTO!H:H,MATCH(A405,[1]ACOMPANHAMENTO!A:A,0))</f>
        <v>46082</v>
      </c>
      <c r="X405" s="11">
        <f t="shared" ca="1" si="6"/>
        <v>149</v>
      </c>
    </row>
    <row r="406" spans="1:24" x14ac:dyDescent="0.3">
      <c r="A406" s="5">
        <v>446</v>
      </c>
      <c r="B406" s="21">
        <v>177</v>
      </c>
      <c r="C406" s="3" t="s">
        <v>190</v>
      </c>
      <c r="D406" s="4" t="s">
        <v>264</v>
      </c>
      <c r="E406" s="11" t="s">
        <v>2156</v>
      </c>
      <c r="F406" s="18" t="s">
        <v>823</v>
      </c>
      <c r="G406" s="3" t="s">
        <v>191</v>
      </c>
      <c r="H406" s="4" t="s">
        <v>1040</v>
      </c>
      <c r="K406" s="8" t="s">
        <v>1052</v>
      </c>
      <c r="S406" t="s">
        <v>1369</v>
      </c>
      <c r="T406" s="11" t="s">
        <v>1368</v>
      </c>
      <c r="U406" s="11" t="s">
        <v>3633</v>
      </c>
      <c r="V406" s="11" t="s">
        <v>3506</v>
      </c>
      <c r="W406" s="54">
        <f>INDEX([1]ACOMPANHAMENTO!H:H,MATCH(A406,[1]ACOMPANHAMENTO!A:A,0))</f>
        <v>45809</v>
      </c>
      <c r="X406" s="11">
        <f t="shared" ca="1" si="6"/>
        <v>-124</v>
      </c>
    </row>
    <row r="407" spans="1:24" x14ac:dyDescent="0.3">
      <c r="A407" s="5">
        <v>447</v>
      </c>
      <c r="B407" s="21">
        <v>50</v>
      </c>
      <c r="C407" s="3" t="s">
        <v>441</v>
      </c>
      <c r="D407" s="4" t="s">
        <v>440</v>
      </c>
      <c r="E407" s="11" t="s">
        <v>2827</v>
      </c>
      <c r="F407" s="18" t="s">
        <v>824</v>
      </c>
      <c r="G407" s="3" t="s">
        <v>443</v>
      </c>
      <c r="H407" s="4" t="s">
        <v>442</v>
      </c>
      <c r="K407" s="8" t="s">
        <v>1055</v>
      </c>
      <c r="L407" s="32">
        <v>0.01</v>
      </c>
      <c r="M407" s="35">
        <v>0.03</v>
      </c>
      <c r="S407" t="s">
        <v>1230</v>
      </c>
      <c r="T407" s="11" t="s">
        <v>1231</v>
      </c>
      <c r="U407" s="11" t="s">
        <v>824</v>
      </c>
      <c r="V407" s="11" t="s">
        <v>2903</v>
      </c>
      <c r="W407" s="54">
        <f>INDEX([1]ACOMPANHAMENTO!H:H,MATCH(A407,[1]ACOMPANHAMENTO!A:A,0))</f>
        <v>45809</v>
      </c>
      <c r="X407" s="11">
        <f t="shared" ca="1" si="6"/>
        <v>-124</v>
      </c>
    </row>
    <row r="408" spans="1:24" x14ac:dyDescent="0.3">
      <c r="A408" s="5">
        <v>448</v>
      </c>
      <c r="B408" s="21">
        <v>212</v>
      </c>
      <c r="C408" s="3" t="s">
        <v>208</v>
      </c>
      <c r="D408" s="4" t="s">
        <v>404</v>
      </c>
      <c r="E408" s="11" t="s">
        <v>2156</v>
      </c>
      <c r="F408" s="18" t="s">
        <v>825</v>
      </c>
      <c r="G408" s="3" t="s">
        <v>207</v>
      </c>
      <c r="H408" s="4" t="s">
        <v>403</v>
      </c>
      <c r="K408" s="8" t="s">
        <v>1090</v>
      </c>
      <c r="S408" t="s">
        <v>1414</v>
      </c>
      <c r="T408" s="11" t="s">
        <v>1415</v>
      </c>
      <c r="U408" s="11" t="s">
        <v>3638</v>
      </c>
      <c r="V408" s="11" t="s">
        <v>3511</v>
      </c>
      <c r="W408" s="54">
        <f>INDEX([1]ACOMPANHAMENTO!H:H,MATCH(A408,[1]ACOMPANHAMENTO!A:A,0))</f>
        <v>45962</v>
      </c>
      <c r="X408" s="11">
        <f t="shared" ca="1" si="6"/>
        <v>29</v>
      </c>
    </row>
    <row r="409" spans="1:24" x14ac:dyDescent="0.3">
      <c r="A409" s="5">
        <v>449</v>
      </c>
      <c r="B409" s="21">
        <v>77</v>
      </c>
      <c r="C409" s="3" t="s">
        <v>105</v>
      </c>
      <c r="D409" s="4" t="s">
        <v>356</v>
      </c>
      <c r="E409" s="11" t="s">
        <v>2156</v>
      </c>
      <c r="F409" s="18" t="s">
        <v>826</v>
      </c>
      <c r="G409" s="3" t="s">
        <v>106</v>
      </c>
      <c r="H409" s="4" t="s">
        <v>117</v>
      </c>
      <c r="K409" s="8" t="s">
        <v>1067</v>
      </c>
      <c r="M409" s="35">
        <v>2.5000000000000001E-2</v>
      </c>
      <c r="S409" t="s">
        <v>1254</v>
      </c>
      <c r="T409" s="11" t="s">
        <v>1255</v>
      </c>
      <c r="U409" s="11" t="s">
        <v>694</v>
      </c>
      <c r="V409" s="11" t="s">
        <v>2246</v>
      </c>
      <c r="W409" s="54">
        <f>INDEX([1]ACOMPANHAMENTO!H:H,MATCH(A409,[1]ACOMPANHAMENTO!A:A,0))</f>
        <v>45717</v>
      </c>
      <c r="X409" s="11">
        <f t="shared" ca="1" si="6"/>
        <v>-216</v>
      </c>
    </row>
    <row r="410" spans="1:24" x14ac:dyDescent="0.3">
      <c r="A410" s="5">
        <v>450</v>
      </c>
      <c r="B410" s="21">
        <v>198</v>
      </c>
      <c r="C410" s="3" t="s">
        <v>14</v>
      </c>
      <c r="D410" s="4" t="s">
        <v>15</v>
      </c>
      <c r="E410" s="11" t="s">
        <v>2827</v>
      </c>
      <c r="F410" s="18" t="s">
        <v>827</v>
      </c>
      <c r="G410" s="3" t="s">
        <v>97</v>
      </c>
      <c r="H410" s="4" t="s">
        <v>99</v>
      </c>
      <c r="K410" s="8" t="s">
        <v>1052</v>
      </c>
      <c r="M410" s="35">
        <v>0.03</v>
      </c>
      <c r="S410" t="s">
        <v>1416</v>
      </c>
      <c r="T410" s="11">
        <v>99</v>
      </c>
      <c r="U410" s="11" t="s">
        <v>695</v>
      </c>
      <c r="V410" s="11" t="s">
        <v>3056</v>
      </c>
      <c r="W410" s="54">
        <f>INDEX([1]ACOMPANHAMENTO!H:H,MATCH(A410,[1]ACOMPANHAMENTO!A:A,0))</f>
        <v>45717</v>
      </c>
      <c r="X410" s="11">
        <f t="shared" ca="1" si="6"/>
        <v>-216</v>
      </c>
    </row>
    <row r="411" spans="1:24" x14ac:dyDescent="0.3">
      <c r="A411" s="5">
        <v>451</v>
      </c>
      <c r="B411" s="21">
        <v>112</v>
      </c>
      <c r="C411" s="3" t="s">
        <v>43</v>
      </c>
      <c r="D411" s="4" t="s">
        <v>319</v>
      </c>
      <c r="E411" s="11" t="s">
        <v>2548</v>
      </c>
      <c r="F411" s="18" t="s">
        <v>828</v>
      </c>
      <c r="G411" s="3" t="s">
        <v>137</v>
      </c>
      <c r="H411" s="4" t="s">
        <v>368</v>
      </c>
      <c r="K411" s="8" t="s">
        <v>1086</v>
      </c>
      <c r="S411" t="s">
        <v>1308</v>
      </c>
      <c r="T411" s="11" t="s">
        <v>1307</v>
      </c>
      <c r="U411" s="11" t="s">
        <v>683</v>
      </c>
      <c r="V411" s="11" t="s">
        <v>2748</v>
      </c>
      <c r="W411" s="54">
        <f>INDEX([1]ACOMPANHAMENTO!H:H,MATCH(A411,[1]ACOMPANHAMENTO!A:A,0))</f>
        <v>45901</v>
      </c>
      <c r="X411" s="11">
        <f t="shared" ca="1" si="6"/>
        <v>-32</v>
      </c>
    </row>
    <row r="412" spans="1:24" x14ac:dyDescent="0.3">
      <c r="A412" s="5">
        <v>452</v>
      </c>
      <c r="B412" s="21">
        <v>214</v>
      </c>
      <c r="C412" s="3" t="s">
        <v>493</v>
      </c>
      <c r="D412" s="4" t="s">
        <v>492</v>
      </c>
      <c r="E412" s="11" t="s">
        <v>2156</v>
      </c>
      <c r="F412" s="18" t="s">
        <v>829</v>
      </c>
      <c r="G412" s="3" t="s">
        <v>209</v>
      </c>
      <c r="H412" s="4" t="s">
        <v>405</v>
      </c>
      <c r="K412" s="8" t="s">
        <v>1090</v>
      </c>
      <c r="S412" t="s">
        <v>1417</v>
      </c>
      <c r="T412" s="11" t="s">
        <v>1272</v>
      </c>
      <c r="V412" s="11" t="s">
        <v>3512</v>
      </c>
      <c r="W412" s="54">
        <f>INDEX([1]ACOMPANHAMENTO!H:H,MATCH(A412,[1]ACOMPANHAMENTO!A:A,0))</f>
        <v>45778</v>
      </c>
      <c r="X412" s="11">
        <f t="shared" ca="1" si="6"/>
        <v>-155</v>
      </c>
    </row>
    <row r="413" spans="1:24" x14ac:dyDescent="0.3">
      <c r="A413" s="5">
        <v>453</v>
      </c>
      <c r="B413" s="21">
        <v>148</v>
      </c>
      <c r="C413" s="3" t="s">
        <v>193</v>
      </c>
      <c r="D413" s="4" t="s">
        <v>396</v>
      </c>
      <c r="E413" s="11" t="s">
        <v>2156</v>
      </c>
      <c r="F413" s="18" t="s">
        <v>830</v>
      </c>
      <c r="G413" s="3" t="s">
        <v>192</v>
      </c>
      <c r="H413" s="4" t="s">
        <v>395</v>
      </c>
      <c r="K413" s="8" t="s">
        <v>1090</v>
      </c>
      <c r="S413" t="s">
        <v>1376</v>
      </c>
      <c r="T413" s="11" t="s">
        <v>1496</v>
      </c>
      <c r="U413" s="11" t="s">
        <v>667</v>
      </c>
      <c r="V413" s="11" t="s">
        <v>2230</v>
      </c>
      <c r="W413" s="54">
        <f>INDEX([1]ACOMPANHAMENTO!H:H,MATCH(A413,[1]ACOMPANHAMENTO!A:A,0))</f>
        <v>45809</v>
      </c>
      <c r="X413" s="11">
        <f t="shared" ca="1" si="6"/>
        <v>-124</v>
      </c>
    </row>
    <row r="414" spans="1:24" x14ac:dyDescent="0.3">
      <c r="A414" s="5">
        <v>454</v>
      </c>
      <c r="B414" s="21">
        <v>22</v>
      </c>
      <c r="C414" s="3" t="s">
        <v>89</v>
      </c>
      <c r="D414" s="4" t="s">
        <v>347</v>
      </c>
      <c r="E414" s="11" t="s">
        <v>2827</v>
      </c>
      <c r="F414" s="18" t="s">
        <v>831</v>
      </c>
      <c r="G414" s="3" t="s">
        <v>100</v>
      </c>
      <c r="H414" s="4" t="s">
        <v>353</v>
      </c>
      <c r="K414" s="8" t="s">
        <v>1052</v>
      </c>
      <c r="M414" s="35">
        <v>0.04</v>
      </c>
      <c r="S414" t="s">
        <v>1246</v>
      </c>
      <c r="T414" s="11" t="s">
        <v>1233</v>
      </c>
      <c r="U414" s="11" t="s">
        <v>721</v>
      </c>
      <c r="V414" s="11" t="s">
        <v>3432</v>
      </c>
      <c r="W414" s="54">
        <f>INDEX([1]ACOMPANHAMENTO!H:H,MATCH(A414,[1]ACOMPANHAMENTO!A:A,0))</f>
        <v>46113</v>
      </c>
      <c r="X414" s="11">
        <f t="shared" ca="1" si="6"/>
        <v>180</v>
      </c>
    </row>
    <row r="415" spans="1:24" x14ac:dyDescent="0.3">
      <c r="A415" s="5">
        <v>455</v>
      </c>
      <c r="B415" s="21">
        <v>153</v>
      </c>
      <c r="C415" s="3" t="s">
        <v>166</v>
      </c>
      <c r="D415" s="4" t="s">
        <v>382</v>
      </c>
      <c r="E415" s="11" t="s">
        <v>2548</v>
      </c>
      <c r="F415" s="18" t="s">
        <v>832</v>
      </c>
      <c r="G415" s="3" t="s">
        <v>165</v>
      </c>
      <c r="H415" s="4" t="s">
        <v>433</v>
      </c>
      <c r="K415" s="8" t="s">
        <v>1104</v>
      </c>
      <c r="S415" t="s">
        <v>1399</v>
      </c>
      <c r="T415" s="11" t="s">
        <v>1272</v>
      </c>
      <c r="U415" s="11" t="s">
        <v>878</v>
      </c>
      <c r="V415" s="11" t="s">
        <v>3513</v>
      </c>
      <c r="W415" s="54">
        <f>INDEX([1]ACOMPANHAMENTO!H:H,MATCH(A415,[1]ACOMPANHAMENTO!A:A,0))</f>
        <v>45778</v>
      </c>
      <c r="X415" s="11">
        <f t="shared" ca="1" si="6"/>
        <v>-155</v>
      </c>
    </row>
    <row r="416" spans="1:24" x14ac:dyDescent="0.3">
      <c r="A416" s="5">
        <v>456</v>
      </c>
      <c r="B416" s="21">
        <v>42</v>
      </c>
      <c r="C416" s="3" t="s">
        <v>43</v>
      </c>
      <c r="D416" s="4" t="s">
        <v>319</v>
      </c>
      <c r="E416" s="11" t="s">
        <v>2548</v>
      </c>
      <c r="F416" s="18" t="s">
        <v>833</v>
      </c>
      <c r="G416" s="3" t="s">
        <v>42</v>
      </c>
      <c r="H416" s="4" t="s">
        <v>318</v>
      </c>
      <c r="K416" s="8" t="s">
        <v>1062</v>
      </c>
      <c r="S416" t="s">
        <v>1180</v>
      </c>
      <c r="T416" s="11" t="s">
        <v>1181</v>
      </c>
      <c r="U416" s="11" t="s">
        <v>683</v>
      </c>
      <c r="V416" s="11" t="s">
        <v>2724</v>
      </c>
      <c r="W416" s="54">
        <f>INDEX([1]ACOMPANHAMENTO!H:H,MATCH(A416,[1]ACOMPANHAMENTO!A:A,0))</f>
        <v>45901</v>
      </c>
      <c r="X416" s="11">
        <f t="shared" ca="1" si="6"/>
        <v>-32</v>
      </c>
    </row>
    <row r="417" spans="1:24" x14ac:dyDescent="0.3">
      <c r="A417" s="5">
        <v>457</v>
      </c>
      <c r="B417" s="21">
        <v>131</v>
      </c>
      <c r="C417" s="3" t="s">
        <v>171</v>
      </c>
      <c r="D417" s="4" t="s">
        <v>387</v>
      </c>
      <c r="E417" s="11" t="s">
        <v>2548</v>
      </c>
      <c r="F417" s="18" t="s">
        <v>834</v>
      </c>
      <c r="G417" s="3" t="s">
        <v>170</v>
      </c>
      <c r="H417" s="4" t="s">
        <v>437</v>
      </c>
      <c r="K417" s="8" t="s">
        <v>1094</v>
      </c>
      <c r="S417" t="s">
        <v>1335</v>
      </c>
      <c r="T417" s="11" t="s">
        <v>1331</v>
      </c>
      <c r="U417" s="11" t="s">
        <v>663</v>
      </c>
      <c r="V417" s="11" t="s">
        <v>3514</v>
      </c>
      <c r="W417" s="54">
        <f>INDEX([1]ACOMPANHAMENTO!H:H,MATCH(A417,[1]ACOMPANHAMENTO!A:A,0))</f>
        <v>45778</v>
      </c>
      <c r="X417" s="11">
        <f t="shared" ca="1" si="6"/>
        <v>-155</v>
      </c>
    </row>
    <row r="418" spans="1:24" x14ac:dyDescent="0.3">
      <c r="A418" s="5">
        <v>458</v>
      </c>
      <c r="B418" s="21">
        <v>129</v>
      </c>
      <c r="C418" s="3" t="s">
        <v>163</v>
      </c>
      <c r="D418" s="4" t="s">
        <v>164</v>
      </c>
      <c r="E418" s="11" t="s">
        <v>2156</v>
      </c>
      <c r="F418" s="18" t="s">
        <v>835</v>
      </c>
      <c r="G418" s="3" t="s">
        <v>434</v>
      </c>
      <c r="H418" s="4" t="s">
        <v>162</v>
      </c>
      <c r="K418" s="8" t="s">
        <v>1092</v>
      </c>
      <c r="S418" t="s">
        <v>1328</v>
      </c>
      <c r="T418" s="11" t="s">
        <v>1327</v>
      </c>
      <c r="U418" s="11" t="s">
        <v>906</v>
      </c>
      <c r="V418" s="11" t="s">
        <v>3515</v>
      </c>
      <c r="W418" s="54">
        <f>INDEX([1]ACOMPANHAMENTO!H:H,MATCH(A418,[1]ACOMPANHAMENTO!A:A,0))</f>
        <v>45809</v>
      </c>
      <c r="X418" s="11">
        <f t="shared" ca="1" si="6"/>
        <v>-124</v>
      </c>
    </row>
    <row r="419" spans="1:24" x14ac:dyDescent="0.3">
      <c r="A419" s="5">
        <v>459</v>
      </c>
      <c r="B419" s="21">
        <v>195</v>
      </c>
      <c r="C419" s="3" t="s">
        <v>151</v>
      </c>
      <c r="D419" s="4" t="s">
        <v>377</v>
      </c>
      <c r="E419" s="11" t="s">
        <v>2156</v>
      </c>
      <c r="F419" s="18" t="s">
        <v>836</v>
      </c>
      <c r="G419" s="3" t="s">
        <v>206</v>
      </c>
      <c r="H419" s="4" t="s">
        <v>402</v>
      </c>
      <c r="K419" s="8" t="s">
        <v>1090</v>
      </c>
      <c r="S419" t="s">
        <v>1409</v>
      </c>
      <c r="T419" s="11" t="s">
        <v>1272</v>
      </c>
      <c r="U419" s="11" t="s">
        <v>3628</v>
      </c>
      <c r="V419" s="11" t="s">
        <v>2460</v>
      </c>
      <c r="W419" s="54">
        <f>INDEX([1]ACOMPANHAMENTO!H:H,MATCH(A419,[1]ACOMPANHAMENTO!A:A,0))</f>
        <v>45809</v>
      </c>
      <c r="X419" s="11">
        <f t="shared" ca="1" si="6"/>
        <v>-124</v>
      </c>
    </row>
    <row r="420" spans="1:24" x14ac:dyDescent="0.3">
      <c r="A420" s="5">
        <v>460</v>
      </c>
      <c r="B420" s="21">
        <v>207</v>
      </c>
      <c r="C420" s="3" t="s">
        <v>204</v>
      </c>
      <c r="D420" s="4" t="s">
        <v>400</v>
      </c>
      <c r="E420" s="11" t="s">
        <v>3315</v>
      </c>
      <c r="F420" s="18" t="s">
        <v>837</v>
      </c>
      <c r="G420" s="3" t="s">
        <v>205</v>
      </c>
      <c r="H420" s="4" t="s">
        <v>401</v>
      </c>
      <c r="K420" s="8" t="s">
        <v>1067</v>
      </c>
      <c r="S420" t="s">
        <v>1402</v>
      </c>
      <c r="T420" s="11" t="s">
        <v>1403</v>
      </c>
      <c r="U420" s="11" t="s">
        <v>3593</v>
      </c>
      <c r="V420" s="11" t="s">
        <v>3364</v>
      </c>
      <c r="W420" s="54">
        <f>INDEX([1]ACOMPANHAMENTO!H:H,MATCH(A420,[1]ACOMPANHAMENTO!A:A,0))</f>
        <v>45962</v>
      </c>
      <c r="X420" s="11">
        <f t="shared" ca="1" si="6"/>
        <v>29</v>
      </c>
    </row>
    <row r="421" spans="1:24" x14ac:dyDescent="0.3">
      <c r="A421" s="5">
        <v>461</v>
      </c>
      <c r="B421" s="21">
        <v>123</v>
      </c>
      <c r="C421" s="3" t="s">
        <v>153</v>
      </c>
      <c r="D421" s="4" t="s">
        <v>378</v>
      </c>
      <c r="E421" s="11" t="s">
        <v>2156</v>
      </c>
      <c r="F421" s="18" t="s">
        <v>838</v>
      </c>
      <c r="G421" s="3" t="s">
        <v>150</v>
      </c>
      <c r="H421" s="4" t="s">
        <v>376</v>
      </c>
      <c r="K421" s="8" t="s">
        <v>1090</v>
      </c>
      <c r="S421" t="s">
        <v>1321</v>
      </c>
      <c r="T421" s="11" t="s">
        <v>1272</v>
      </c>
      <c r="U421" s="11" t="s">
        <v>3627</v>
      </c>
      <c r="V421" s="11" t="s">
        <v>2278</v>
      </c>
      <c r="W421" s="54">
        <f>INDEX([1]ACOMPANHAMENTO!H:H,MATCH(A421,[1]ACOMPANHAMENTO!A:A,0))</f>
        <v>45809</v>
      </c>
      <c r="X421" s="11">
        <f t="shared" ca="1" si="6"/>
        <v>-124</v>
      </c>
    </row>
    <row r="422" spans="1:24" x14ac:dyDescent="0.3">
      <c r="A422" s="5">
        <v>462</v>
      </c>
      <c r="B422" s="21">
        <v>211</v>
      </c>
      <c r="C422" s="3" t="s">
        <v>210</v>
      </c>
      <c r="D422" s="4" t="s">
        <v>270</v>
      </c>
      <c r="E422" s="11" t="s">
        <v>2548</v>
      </c>
      <c r="F422" s="18" t="s">
        <v>839</v>
      </c>
      <c r="G422" s="3" t="s">
        <v>165</v>
      </c>
      <c r="H422" s="4" t="s">
        <v>381</v>
      </c>
      <c r="K422" s="8" t="s">
        <v>1104</v>
      </c>
      <c r="S422" t="s">
        <v>1418</v>
      </c>
      <c r="T422" s="11" t="s">
        <v>1419</v>
      </c>
      <c r="U422" s="11" t="s">
        <v>3640</v>
      </c>
      <c r="V422" s="11" t="s">
        <v>2710</v>
      </c>
      <c r="W422" s="54">
        <f>INDEX([1]ACOMPANHAMENTO!H:H,MATCH(A422,[1]ACOMPANHAMENTO!A:A,0))</f>
        <v>45778</v>
      </c>
      <c r="X422" s="11">
        <f t="shared" ca="1" si="6"/>
        <v>-155</v>
      </c>
    </row>
    <row r="423" spans="1:24" x14ac:dyDescent="0.3">
      <c r="A423" s="5">
        <v>463</v>
      </c>
      <c r="B423" s="21">
        <v>177</v>
      </c>
      <c r="C423" s="3" t="s">
        <v>190</v>
      </c>
      <c r="D423" s="4" t="s">
        <v>264</v>
      </c>
      <c r="E423" s="11" t="s">
        <v>2156</v>
      </c>
      <c r="F423" s="18" t="s">
        <v>840</v>
      </c>
      <c r="G423" s="3" t="s">
        <v>191</v>
      </c>
      <c r="H423" s="4" t="s">
        <v>1040</v>
      </c>
      <c r="K423" s="8" t="s">
        <v>1052</v>
      </c>
      <c r="S423" t="s">
        <v>1369</v>
      </c>
      <c r="T423" s="11" t="s">
        <v>1368</v>
      </c>
      <c r="U423" s="11" t="s">
        <v>3633</v>
      </c>
      <c r="V423" s="11" t="s">
        <v>2186</v>
      </c>
      <c r="W423" s="54">
        <f>INDEX([1]ACOMPANHAMENTO!H:H,MATCH(A423,[1]ACOMPANHAMENTO!A:A,0))</f>
        <v>45809</v>
      </c>
      <c r="X423" s="11">
        <f t="shared" ca="1" si="6"/>
        <v>-124</v>
      </c>
    </row>
    <row r="424" spans="1:24" x14ac:dyDescent="0.3">
      <c r="A424" s="5">
        <v>464</v>
      </c>
      <c r="B424" s="21">
        <v>113</v>
      </c>
      <c r="C424" s="3" t="s">
        <v>139</v>
      </c>
      <c r="D424" s="4" t="s">
        <v>140</v>
      </c>
      <c r="E424" s="11" t="s">
        <v>2548</v>
      </c>
      <c r="F424" s="18" t="s">
        <v>946</v>
      </c>
      <c r="G424" s="3" t="s">
        <v>138</v>
      </c>
      <c r="H424" s="4" t="s">
        <v>369</v>
      </c>
      <c r="K424" s="8" t="s">
        <v>1085</v>
      </c>
      <c r="S424" t="s">
        <v>1306</v>
      </c>
      <c r="T424" s="11" t="s">
        <v>1305</v>
      </c>
      <c r="U424" s="11" t="s">
        <v>3623</v>
      </c>
      <c r="V424" s="11" t="s">
        <v>2647</v>
      </c>
      <c r="W424" s="54">
        <f>INDEX([1]ACOMPANHAMENTO!H:H,MATCH(A424,[1]ACOMPANHAMENTO!A:A,0))</f>
        <v>45778</v>
      </c>
      <c r="X424" s="11">
        <f t="shared" ca="1" si="6"/>
        <v>-155</v>
      </c>
    </row>
    <row r="425" spans="1:24" x14ac:dyDescent="0.3">
      <c r="A425" s="5">
        <v>465</v>
      </c>
      <c r="B425" s="21">
        <v>200</v>
      </c>
      <c r="C425" s="3" t="s">
        <v>211</v>
      </c>
      <c r="D425" s="4" t="s">
        <v>406</v>
      </c>
      <c r="E425" s="11" t="s">
        <v>2156</v>
      </c>
      <c r="F425" s="18" t="s">
        <v>947</v>
      </c>
      <c r="G425" s="3" t="s">
        <v>150</v>
      </c>
      <c r="H425" s="4" t="s">
        <v>376</v>
      </c>
      <c r="K425" s="8" t="s">
        <v>1090</v>
      </c>
      <c r="S425" t="s">
        <v>1420</v>
      </c>
      <c r="T425" s="11" t="s">
        <v>1272</v>
      </c>
      <c r="U425" s="11" t="s">
        <v>3594</v>
      </c>
      <c r="V425" s="11" t="s">
        <v>2455</v>
      </c>
      <c r="W425" s="54">
        <f>INDEX([1]ACOMPANHAMENTO!H:H,MATCH(A425,[1]ACOMPANHAMENTO!A:A,0))</f>
        <v>45809</v>
      </c>
      <c r="X425" s="11">
        <f t="shared" ca="1" si="6"/>
        <v>-124</v>
      </c>
    </row>
    <row r="426" spans="1:24" x14ac:dyDescent="0.3">
      <c r="A426" s="5">
        <v>466</v>
      </c>
      <c r="B426" s="21">
        <v>201</v>
      </c>
      <c r="C426" s="3" t="s">
        <v>213</v>
      </c>
      <c r="D426" s="4" t="s">
        <v>408</v>
      </c>
      <c r="E426" s="11" t="s">
        <v>2156</v>
      </c>
      <c r="F426" s="18" t="s">
        <v>948</v>
      </c>
      <c r="G426" s="3" t="s">
        <v>212</v>
      </c>
      <c r="H426" s="4" t="s">
        <v>407</v>
      </c>
      <c r="K426" s="8" t="s">
        <v>1051</v>
      </c>
      <c r="S426" t="s">
        <v>1421</v>
      </c>
      <c r="T426" s="11" t="s">
        <v>1422</v>
      </c>
      <c r="U426" s="11" t="s">
        <v>3595</v>
      </c>
      <c r="V426" s="11" t="s">
        <v>2174</v>
      </c>
      <c r="W426" s="54">
        <f>INDEX([1]ACOMPANHAMENTO!H:H,MATCH(A426,[1]ACOMPANHAMENTO!A:A,0))</f>
        <v>45778</v>
      </c>
      <c r="X426" s="11">
        <f t="shared" ca="1" si="6"/>
        <v>-155</v>
      </c>
    </row>
    <row r="427" spans="1:24" x14ac:dyDescent="0.3">
      <c r="A427" s="5">
        <v>467</v>
      </c>
      <c r="B427" s="21">
        <v>183</v>
      </c>
      <c r="C427" s="3" t="s">
        <v>144</v>
      </c>
      <c r="D427" s="4" t="s">
        <v>371</v>
      </c>
      <c r="E427" s="11" t="s">
        <v>2548</v>
      </c>
      <c r="F427" s="18" t="s">
        <v>949</v>
      </c>
      <c r="G427" s="3" t="s">
        <v>33</v>
      </c>
      <c r="H427" s="4" t="s">
        <v>34</v>
      </c>
      <c r="K427" s="8" t="s">
        <v>1088</v>
      </c>
      <c r="S427" t="s">
        <v>1393</v>
      </c>
      <c r="T427" s="11" t="s">
        <v>1392</v>
      </c>
      <c r="U427" s="11" t="s">
        <v>647</v>
      </c>
      <c r="V427" s="11" t="s">
        <v>2741</v>
      </c>
      <c r="W427" s="54">
        <f>INDEX([1]ACOMPANHAMENTO!H:H,MATCH(A427,[1]ACOMPANHAMENTO!A:A,0))</f>
        <v>45962</v>
      </c>
      <c r="X427" s="11">
        <f t="shared" ca="1" si="6"/>
        <v>29</v>
      </c>
    </row>
    <row r="428" spans="1:24" x14ac:dyDescent="0.3">
      <c r="A428" s="5">
        <v>468</v>
      </c>
      <c r="B428" s="21">
        <v>129</v>
      </c>
      <c r="C428" s="3" t="s">
        <v>163</v>
      </c>
      <c r="D428" s="4" t="s">
        <v>164</v>
      </c>
      <c r="E428" s="11" t="s">
        <v>2156</v>
      </c>
      <c r="F428" s="20" t="s">
        <v>1037</v>
      </c>
      <c r="G428" s="3" t="s">
        <v>434</v>
      </c>
      <c r="H428" s="4" t="s">
        <v>162</v>
      </c>
      <c r="K428" s="8" t="s">
        <v>1092</v>
      </c>
      <c r="S428" t="s">
        <v>1328</v>
      </c>
      <c r="T428" s="11" t="s">
        <v>1327</v>
      </c>
      <c r="U428" s="11" t="s">
        <v>906</v>
      </c>
      <c r="V428" s="11" t="s">
        <v>3479</v>
      </c>
      <c r="W428" s="54">
        <f>INDEX([1]ACOMPANHAMENTO!H:H,MATCH(A428,[1]ACOMPANHAMENTO!A:A,0))</f>
        <v>45809</v>
      </c>
      <c r="X428" s="11">
        <f t="shared" ca="1" si="6"/>
        <v>-124</v>
      </c>
    </row>
    <row r="429" spans="1:24" x14ac:dyDescent="0.3">
      <c r="A429" s="5">
        <v>469</v>
      </c>
      <c r="B429" s="21">
        <v>141</v>
      </c>
      <c r="C429" s="3" t="s">
        <v>455</v>
      </c>
      <c r="D429" s="4" t="s">
        <v>495</v>
      </c>
      <c r="E429" s="11" t="s">
        <v>2548</v>
      </c>
      <c r="F429" s="18" t="s">
        <v>950</v>
      </c>
      <c r="G429" s="3" t="s">
        <v>457</v>
      </c>
      <c r="H429" s="4" t="s">
        <v>494</v>
      </c>
      <c r="K429" s="8" t="s">
        <v>1085</v>
      </c>
      <c r="S429" t="s">
        <v>1272</v>
      </c>
      <c r="T429" s="11" t="s">
        <v>1272</v>
      </c>
      <c r="U429" s="11" t="s">
        <v>3659</v>
      </c>
      <c r="V429" s="11" t="s">
        <v>3516</v>
      </c>
      <c r="W429" s="54">
        <f>INDEX([1]ACOMPANHAMENTO!H:H,MATCH(A429,[1]ACOMPANHAMENTO!A:A,0))</f>
        <v>45962</v>
      </c>
      <c r="X429" s="11">
        <f t="shared" ca="1" si="6"/>
        <v>29</v>
      </c>
    </row>
    <row r="430" spans="1:24" x14ac:dyDescent="0.3">
      <c r="A430" s="5">
        <v>470</v>
      </c>
      <c r="B430" s="21">
        <v>200</v>
      </c>
      <c r="C430" s="3" t="s">
        <v>211</v>
      </c>
      <c r="D430" s="4" t="s">
        <v>406</v>
      </c>
      <c r="E430" s="11" t="s">
        <v>2156</v>
      </c>
      <c r="F430" s="18" t="s">
        <v>951</v>
      </c>
      <c r="G430" s="3" t="s">
        <v>150</v>
      </c>
      <c r="H430" s="4" t="s">
        <v>376</v>
      </c>
      <c r="K430" s="8" t="s">
        <v>1090</v>
      </c>
      <c r="S430" t="s">
        <v>1420</v>
      </c>
      <c r="T430" s="11" t="s">
        <v>1272</v>
      </c>
      <c r="U430" s="11" t="s">
        <v>3594</v>
      </c>
      <c r="V430" s="11" t="s">
        <v>2449</v>
      </c>
      <c r="W430" s="54">
        <f>INDEX([1]ACOMPANHAMENTO!H:H,MATCH(A430,[1]ACOMPANHAMENTO!A:A,0))</f>
        <v>45809</v>
      </c>
      <c r="X430" s="11">
        <f t="shared" ca="1" si="6"/>
        <v>-124</v>
      </c>
    </row>
    <row r="431" spans="1:24" x14ac:dyDescent="0.3">
      <c r="A431" s="5">
        <v>471</v>
      </c>
      <c r="B431" s="21">
        <v>199</v>
      </c>
      <c r="C431" s="3" t="s">
        <v>497</v>
      </c>
      <c r="D431" s="4" t="s">
        <v>496</v>
      </c>
      <c r="E431" s="11" t="s">
        <v>2156</v>
      </c>
      <c r="F431" s="18" t="s">
        <v>952</v>
      </c>
      <c r="G431" s="3" t="s">
        <v>209</v>
      </c>
      <c r="H431" s="4" t="s">
        <v>405</v>
      </c>
      <c r="K431" s="8" t="s">
        <v>1090</v>
      </c>
      <c r="S431" t="s">
        <v>1423</v>
      </c>
      <c r="T431" s="11" t="s">
        <v>1424</v>
      </c>
      <c r="U431" s="11" t="s">
        <v>3639</v>
      </c>
      <c r="V431" s="11" t="s">
        <v>2525</v>
      </c>
      <c r="W431" s="54">
        <f>INDEX([1]ACOMPANHAMENTO!H:H,MATCH(A431,[1]ACOMPANHAMENTO!A:A,0))</f>
        <v>45778</v>
      </c>
      <c r="X431" s="11">
        <f t="shared" ca="1" si="6"/>
        <v>-155</v>
      </c>
    </row>
    <row r="432" spans="1:24" x14ac:dyDescent="0.3">
      <c r="A432" s="5">
        <v>472</v>
      </c>
      <c r="B432" s="21">
        <v>89</v>
      </c>
      <c r="C432" s="3" t="s">
        <v>105</v>
      </c>
      <c r="D432" s="4" t="s">
        <v>356</v>
      </c>
      <c r="E432" s="11" t="s">
        <v>2827</v>
      </c>
      <c r="F432" s="18" t="s">
        <v>953</v>
      </c>
      <c r="G432" s="3" t="s">
        <v>118</v>
      </c>
      <c r="H432" s="4" t="s">
        <v>358</v>
      </c>
      <c r="K432" s="8" t="s">
        <v>1065</v>
      </c>
      <c r="M432" s="35">
        <v>0.02</v>
      </c>
      <c r="S432" t="s">
        <v>1283</v>
      </c>
      <c r="T432" s="11" t="s">
        <v>1284</v>
      </c>
      <c r="U432" s="11" t="s">
        <v>694</v>
      </c>
      <c r="V432" s="11" t="s">
        <v>2876</v>
      </c>
      <c r="W432" s="54">
        <f>INDEX([1]ACOMPANHAMENTO!H:H,MATCH(A432,[1]ACOMPANHAMENTO!A:A,0))</f>
        <v>45717</v>
      </c>
      <c r="X432" s="11">
        <f t="shared" ca="1" si="6"/>
        <v>-216</v>
      </c>
    </row>
    <row r="433" spans="1:24" x14ac:dyDescent="0.3">
      <c r="A433" s="5">
        <v>473</v>
      </c>
      <c r="B433" s="21">
        <v>149</v>
      </c>
      <c r="C433" s="3" t="s">
        <v>468</v>
      </c>
      <c r="D433" s="4" t="s">
        <v>467</v>
      </c>
      <c r="E433" s="11" t="s">
        <v>2548</v>
      </c>
      <c r="F433" s="18" t="s">
        <v>954</v>
      </c>
      <c r="G433" s="3" t="s">
        <v>154</v>
      </c>
      <c r="H433" s="4" t="s">
        <v>155</v>
      </c>
      <c r="K433" s="8" t="s">
        <v>1095</v>
      </c>
      <c r="S433" t="s">
        <v>1337</v>
      </c>
      <c r="T433" s="11" t="s">
        <v>1336</v>
      </c>
      <c r="U433" t="s">
        <v>3655</v>
      </c>
      <c r="V433" t="s">
        <v>3582</v>
      </c>
      <c r="W433" s="54">
        <f>INDEX([1]ACOMPANHAMENTO!H:H,MATCH(A433,[1]ACOMPANHAMENTO!A:A,0))</f>
        <v>45839</v>
      </c>
      <c r="X433" s="11">
        <f t="shared" ca="1" si="6"/>
        <v>-94</v>
      </c>
    </row>
    <row r="434" spans="1:24" x14ac:dyDescent="0.3">
      <c r="A434" s="5">
        <v>474</v>
      </c>
      <c r="B434" s="21">
        <v>131</v>
      </c>
      <c r="C434" s="5" t="s">
        <v>171</v>
      </c>
      <c r="D434" s="11" t="s">
        <v>387</v>
      </c>
      <c r="E434" s="11" t="s">
        <v>2548</v>
      </c>
      <c r="F434" s="18" t="s">
        <v>955</v>
      </c>
      <c r="G434" s="3" t="s">
        <v>170</v>
      </c>
      <c r="H434" s="4" t="s">
        <v>437</v>
      </c>
      <c r="K434" s="8" t="s">
        <v>1094</v>
      </c>
      <c r="S434" t="s">
        <v>1335</v>
      </c>
      <c r="T434" s="11" t="s">
        <v>1331</v>
      </c>
      <c r="U434" s="11" t="s">
        <v>663</v>
      </c>
      <c r="V434" s="11" t="s">
        <v>3517</v>
      </c>
      <c r="W434" s="54">
        <f>INDEX([1]ACOMPANHAMENTO!H:H,MATCH(A434,[1]ACOMPANHAMENTO!A:A,0))</f>
        <v>45778</v>
      </c>
      <c r="X434" s="11">
        <f t="shared" ca="1" si="6"/>
        <v>-155</v>
      </c>
    </row>
    <row r="435" spans="1:24" x14ac:dyDescent="0.3">
      <c r="A435" s="5">
        <v>475</v>
      </c>
      <c r="B435" s="21">
        <v>129</v>
      </c>
      <c r="C435" s="3" t="s">
        <v>163</v>
      </c>
      <c r="D435" s="4" t="s">
        <v>164</v>
      </c>
      <c r="E435" s="11" t="s">
        <v>2156</v>
      </c>
      <c r="F435" s="18" t="s">
        <v>956</v>
      </c>
      <c r="G435" s="3" t="s">
        <v>434</v>
      </c>
      <c r="H435" s="4" t="s">
        <v>162</v>
      </c>
      <c r="K435" s="8" t="s">
        <v>1092</v>
      </c>
      <c r="S435" t="s">
        <v>1328</v>
      </c>
      <c r="T435" s="11" t="s">
        <v>1327</v>
      </c>
      <c r="U435" s="11" t="s">
        <v>906</v>
      </c>
      <c r="V435" s="11" t="s">
        <v>2224</v>
      </c>
      <c r="W435" s="54">
        <f>INDEX([1]ACOMPANHAMENTO!H:H,MATCH(A435,[1]ACOMPANHAMENTO!A:A,0))</f>
        <v>45809</v>
      </c>
      <c r="X435" s="11">
        <f t="shared" ca="1" si="6"/>
        <v>-124</v>
      </c>
    </row>
    <row r="436" spans="1:24" x14ac:dyDescent="0.3">
      <c r="A436" s="5">
        <v>476</v>
      </c>
      <c r="B436" s="21">
        <v>192</v>
      </c>
      <c r="C436" s="3" t="s">
        <v>246</v>
      </c>
      <c r="D436" s="4" t="s">
        <v>486</v>
      </c>
      <c r="E436" s="11" t="s">
        <v>2156</v>
      </c>
      <c r="F436" s="18" t="s">
        <v>957</v>
      </c>
      <c r="G436" s="3" t="s">
        <v>484</v>
      </c>
      <c r="H436" s="4" t="s">
        <v>485</v>
      </c>
      <c r="K436" s="8" t="s">
        <v>1106</v>
      </c>
      <c r="S436" t="s">
        <v>1408</v>
      </c>
      <c r="T436" s="11" t="s">
        <v>1407</v>
      </c>
      <c r="U436" s="11" t="s">
        <v>3657</v>
      </c>
      <c r="V436" s="11" t="s">
        <v>3518</v>
      </c>
      <c r="W436" s="54">
        <f>INDEX([1]ACOMPANHAMENTO!H:H,MATCH(A436,[1]ACOMPANHAMENTO!A:A,0))</f>
        <v>45809</v>
      </c>
      <c r="X436" s="11">
        <f t="shared" ca="1" si="6"/>
        <v>-124</v>
      </c>
    </row>
    <row r="437" spans="1:24" x14ac:dyDescent="0.3">
      <c r="A437" s="5">
        <v>477</v>
      </c>
      <c r="B437" s="21">
        <v>196</v>
      </c>
      <c r="C437" s="3" t="s">
        <v>491</v>
      </c>
      <c r="D437" s="4" t="s">
        <v>490</v>
      </c>
      <c r="E437" s="11" t="s">
        <v>2156</v>
      </c>
      <c r="F437" s="18" t="s">
        <v>958</v>
      </c>
      <c r="G437" s="3" t="s">
        <v>489</v>
      </c>
      <c r="H437" s="4" t="s">
        <v>488</v>
      </c>
      <c r="K437" s="8" t="s">
        <v>1090</v>
      </c>
      <c r="S437" t="s">
        <v>1410</v>
      </c>
      <c r="T437" s="11" t="s">
        <v>1411</v>
      </c>
      <c r="U437" s="11" t="s">
        <v>3658</v>
      </c>
      <c r="V437" s="11" t="s">
        <v>3519</v>
      </c>
      <c r="W437" s="54">
        <f>INDEX([1]ACOMPANHAMENTO!H:H,MATCH(A437,[1]ACOMPANHAMENTO!A:A,0))</f>
        <v>45809</v>
      </c>
      <c r="X437" s="11">
        <f t="shared" ca="1" si="6"/>
        <v>-124</v>
      </c>
    </row>
    <row r="438" spans="1:24" x14ac:dyDescent="0.3">
      <c r="A438" s="5">
        <v>478</v>
      </c>
      <c r="B438" s="21">
        <v>195</v>
      </c>
      <c r="C438" s="3" t="s">
        <v>151</v>
      </c>
      <c r="D438" s="4" t="s">
        <v>377</v>
      </c>
      <c r="E438" s="11" t="s">
        <v>2156</v>
      </c>
      <c r="F438" s="18" t="s">
        <v>959</v>
      </c>
      <c r="G438" s="3" t="s">
        <v>206</v>
      </c>
      <c r="H438" s="4" t="s">
        <v>402</v>
      </c>
      <c r="K438" s="8" t="s">
        <v>1090</v>
      </c>
      <c r="S438" t="s">
        <v>1409</v>
      </c>
      <c r="T438" s="11" t="s">
        <v>1272</v>
      </c>
      <c r="U438" s="11" t="s">
        <v>3628</v>
      </c>
      <c r="V438" s="11" t="s">
        <v>2336</v>
      </c>
      <c r="W438" s="54">
        <f>INDEX([1]ACOMPANHAMENTO!H:H,MATCH(A438,[1]ACOMPANHAMENTO!A:A,0))</f>
        <v>45809</v>
      </c>
      <c r="X438" s="11">
        <f t="shared" ca="1" si="6"/>
        <v>-124</v>
      </c>
    </row>
    <row r="439" spans="1:24" x14ac:dyDescent="0.3">
      <c r="A439" s="5">
        <v>479</v>
      </c>
      <c r="B439" s="21">
        <v>233</v>
      </c>
      <c r="C439" s="3" t="s">
        <v>211</v>
      </c>
      <c r="D439" s="4" t="s">
        <v>406</v>
      </c>
      <c r="E439" s="11" t="s">
        <v>2156</v>
      </c>
      <c r="F439" s="18" t="s">
        <v>960</v>
      </c>
      <c r="G439" s="3" t="s">
        <v>209</v>
      </c>
      <c r="H439" s="4" t="s">
        <v>405</v>
      </c>
      <c r="K439" s="8" t="s">
        <v>1090</v>
      </c>
      <c r="S439" t="s">
        <v>1423</v>
      </c>
      <c r="T439" s="11" t="s">
        <v>1424</v>
      </c>
      <c r="U439" s="11" t="s">
        <v>3594</v>
      </c>
      <c r="V439" s="11" t="s">
        <v>2348</v>
      </c>
      <c r="W439" s="54">
        <f>INDEX([1]ACOMPANHAMENTO!H:H,MATCH(A439,[1]ACOMPANHAMENTO!A:A,0))</f>
        <v>45778</v>
      </c>
      <c r="X439" s="11">
        <f t="shared" ca="1" si="6"/>
        <v>-155</v>
      </c>
    </row>
    <row r="440" spans="1:24" x14ac:dyDescent="0.3">
      <c r="A440" s="5">
        <v>480</v>
      </c>
      <c r="B440" s="21">
        <v>187</v>
      </c>
      <c r="C440" s="3" t="s">
        <v>198</v>
      </c>
      <c r="D440" s="4" t="s">
        <v>398</v>
      </c>
      <c r="E440" s="11" t="s">
        <v>2156</v>
      </c>
      <c r="F440" s="18" t="s">
        <v>961</v>
      </c>
      <c r="G440" s="3" t="s">
        <v>197</v>
      </c>
      <c r="H440" s="4" t="s">
        <v>533</v>
      </c>
      <c r="K440" s="8" t="s">
        <v>1102</v>
      </c>
      <c r="S440" t="s">
        <v>1389</v>
      </c>
      <c r="T440" s="11" t="s">
        <v>1388</v>
      </c>
      <c r="U440" s="11" t="s">
        <v>3635</v>
      </c>
      <c r="V440" s="11" t="s">
        <v>2383</v>
      </c>
      <c r="W440" s="54">
        <f>INDEX([1]ACOMPANHAMENTO!H:H,MATCH(A440,[1]ACOMPANHAMENTO!A:A,0))</f>
        <v>45809</v>
      </c>
      <c r="X440" s="11">
        <f t="shared" ca="1" si="6"/>
        <v>-124</v>
      </c>
    </row>
    <row r="441" spans="1:24" x14ac:dyDescent="0.3">
      <c r="A441" s="5">
        <v>481</v>
      </c>
      <c r="B441" s="21">
        <v>89</v>
      </c>
      <c r="C441" s="3" t="s">
        <v>105</v>
      </c>
      <c r="D441" s="4" t="s">
        <v>356</v>
      </c>
      <c r="E441" s="11" t="s">
        <v>2827</v>
      </c>
      <c r="F441" s="18" t="s">
        <v>841</v>
      </c>
      <c r="G441" s="3" t="s">
        <v>118</v>
      </c>
      <c r="H441" s="4" t="s">
        <v>358</v>
      </c>
      <c r="K441" s="8" t="s">
        <v>1065</v>
      </c>
      <c r="M441" s="35">
        <v>0.02</v>
      </c>
      <c r="S441" t="s">
        <v>1283</v>
      </c>
      <c r="T441" s="11" t="s">
        <v>1284</v>
      </c>
      <c r="U441" s="11" t="s">
        <v>694</v>
      </c>
      <c r="V441" s="11" t="s">
        <v>3445</v>
      </c>
      <c r="W441" s="54">
        <f>INDEX([1]ACOMPANHAMENTO!H:H,MATCH(A441,[1]ACOMPANHAMENTO!A:A,0))</f>
        <v>45717</v>
      </c>
      <c r="X441" s="11">
        <f t="shared" ca="1" si="6"/>
        <v>-216</v>
      </c>
    </row>
    <row r="442" spans="1:24" x14ac:dyDescent="0.3">
      <c r="A442" s="5">
        <v>482</v>
      </c>
      <c r="B442" s="21">
        <v>113</v>
      </c>
      <c r="C442" s="3" t="s">
        <v>139</v>
      </c>
      <c r="D442" s="4" t="s">
        <v>140</v>
      </c>
      <c r="E442" s="11" t="s">
        <v>2548</v>
      </c>
      <c r="F442" s="18" t="s">
        <v>962</v>
      </c>
      <c r="G442" s="3" t="s">
        <v>138</v>
      </c>
      <c r="H442" s="4" t="s">
        <v>369</v>
      </c>
      <c r="K442" s="8" t="s">
        <v>1085</v>
      </c>
      <c r="S442" t="s">
        <v>1306</v>
      </c>
      <c r="T442" s="11" t="s">
        <v>1305</v>
      </c>
      <c r="U442" s="11" t="s">
        <v>3623</v>
      </c>
      <c r="V442" s="11" t="s">
        <v>2673</v>
      </c>
      <c r="W442" s="54">
        <f>INDEX([1]ACOMPANHAMENTO!H:H,MATCH(A442,[1]ACOMPANHAMENTO!A:A,0))</f>
        <v>45778</v>
      </c>
      <c r="X442" s="11">
        <f t="shared" ca="1" si="6"/>
        <v>-155</v>
      </c>
    </row>
    <row r="443" spans="1:24" x14ac:dyDescent="0.3">
      <c r="A443" s="5">
        <v>483</v>
      </c>
      <c r="B443" s="21">
        <v>205</v>
      </c>
      <c r="C443" s="3" t="s">
        <v>215</v>
      </c>
      <c r="D443" s="4" t="s">
        <v>410</v>
      </c>
      <c r="E443" s="11" t="s">
        <v>2548</v>
      </c>
      <c r="F443" s="18" t="s">
        <v>842</v>
      </c>
      <c r="G443" s="3" t="s">
        <v>214</v>
      </c>
      <c r="H443" s="4" t="s">
        <v>409</v>
      </c>
      <c r="K443" s="8" t="s">
        <v>1085</v>
      </c>
      <c r="S443" t="s">
        <v>1426</v>
      </c>
      <c r="T443" s="11" t="s">
        <v>1425</v>
      </c>
      <c r="U443" s="11" t="s">
        <v>3626</v>
      </c>
      <c r="V443" s="11" t="s">
        <v>2557</v>
      </c>
      <c r="W443" s="54">
        <f>INDEX([1]ACOMPANHAMENTO!H:H,MATCH(A443,[1]ACOMPANHAMENTO!A:A,0))</f>
        <v>45870</v>
      </c>
      <c r="X443" s="11">
        <f t="shared" ca="1" si="6"/>
        <v>-63</v>
      </c>
    </row>
    <row r="444" spans="1:24" x14ac:dyDescent="0.3">
      <c r="A444" s="5">
        <v>484</v>
      </c>
      <c r="B444" s="21">
        <v>50</v>
      </c>
      <c r="C444" s="3" t="s">
        <v>441</v>
      </c>
      <c r="D444" s="4" t="s">
        <v>440</v>
      </c>
      <c r="E444" s="11" t="s">
        <v>2827</v>
      </c>
      <c r="F444" s="18" t="s">
        <v>843</v>
      </c>
      <c r="G444" s="3" t="s">
        <v>443</v>
      </c>
      <c r="H444" s="4" t="s">
        <v>442</v>
      </c>
      <c r="K444" s="8" t="s">
        <v>1055</v>
      </c>
      <c r="S444" t="s">
        <v>1230</v>
      </c>
      <c r="T444" s="11" t="s">
        <v>1231</v>
      </c>
      <c r="U444" s="11" t="s">
        <v>824</v>
      </c>
      <c r="V444" s="11" t="s">
        <v>2903</v>
      </c>
      <c r="W444" s="54">
        <f>INDEX([1]ACOMPANHAMENTO!H:H,MATCH(A444,[1]ACOMPANHAMENTO!A:A,0))</f>
        <v>45809</v>
      </c>
      <c r="X444" s="11">
        <f t="shared" ca="1" si="6"/>
        <v>-124</v>
      </c>
    </row>
    <row r="445" spans="1:24" x14ac:dyDescent="0.3">
      <c r="A445" s="5">
        <v>485</v>
      </c>
      <c r="B445" s="21">
        <v>184</v>
      </c>
      <c r="C445" s="3" t="s">
        <v>201</v>
      </c>
      <c r="D445" s="4" t="s">
        <v>268</v>
      </c>
      <c r="E445" s="11" t="s">
        <v>2156</v>
      </c>
      <c r="F445" s="18" t="s">
        <v>936</v>
      </c>
      <c r="G445" s="3" t="s">
        <v>200</v>
      </c>
      <c r="H445" s="4" t="s">
        <v>267</v>
      </c>
      <c r="K445" s="8" t="s">
        <v>1052</v>
      </c>
      <c r="S445" t="s">
        <v>1394</v>
      </c>
      <c r="T445" s="11" t="s">
        <v>1394</v>
      </c>
      <c r="U445" s="11" t="s">
        <v>3636</v>
      </c>
      <c r="V445" s="11" t="s">
        <v>2274</v>
      </c>
      <c r="W445" s="54">
        <f>INDEX([1]ACOMPANHAMENTO!H:H,MATCH(A445,[1]ACOMPANHAMENTO!A:A,0))</f>
        <v>45809</v>
      </c>
      <c r="X445" s="11">
        <f t="shared" ca="1" si="6"/>
        <v>-124</v>
      </c>
    </row>
    <row r="446" spans="1:24" x14ac:dyDescent="0.3">
      <c r="A446" s="5">
        <v>486</v>
      </c>
      <c r="B446" s="21">
        <v>135</v>
      </c>
      <c r="C446" s="5" t="s">
        <v>174</v>
      </c>
      <c r="D446" s="11" t="s">
        <v>175</v>
      </c>
      <c r="E446" s="11" t="s">
        <v>2548</v>
      </c>
      <c r="F446" s="18" t="s">
        <v>844</v>
      </c>
      <c r="G446" s="3" t="s">
        <v>172</v>
      </c>
      <c r="H446" s="4" t="s">
        <v>498</v>
      </c>
      <c r="K446" s="8" t="s">
        <v>1101</v>
      </c>
      <c r="S446" t="s">
        <v>1374</v>
      </c>
      <c r="T446" s="11" t="s">
        <v>1375</v>
      </c>
      <c r="U446" s="11" t="s">
        <v>664</v>
      </c>
      <c r="V446" s="11" t="s">
        <v>2678</v>
      </c>
      <c r="W446" s="54">
        <f>INDEX([1]ACOMPANHAMENTO!H:H,MATCH(A446,[1]ACOMPANHAMENTO!A:A,0))</f>
        <v>45962</v>
      </c>
      <c r="X446" s="11">
        <f t="shared" ca="1" si="6"/>
        <v>29</v>
      </c>
    </row>
    <row r="447" spans="1:24" x14ac:dyDescent="0.3">
      <c r="A447" s="5">
        <v>487</v>
      </c>
      <c r="B447" s="21">
        <v>251</v>
      </c>
      <c r="C447" s="3" t="s">
        <v>472</v>
      </c>
      <c r="D447" s="4" t="s">
        <v>471</v>
      </c>
      <c r="E447" s="11" t="s">
        <v>2156</v>
      </c>
      <c r="F447" s="18" t="s">
        <v>845</v>
      </c>
      <c r="G447" s="3" t="s">
        <v>169</v>
      </c>
      <c r="H447" s="4" t="s">
        <v>385</v>
      </c>
      <c r="K447" s="8" t="s">
        <v>1052</v>
      </c>
      <c r="S447" t="s">
        <v>1371</v>
      </c>
      <c r="T447" s="11" t="s">
        <v>1370</v>
      </c>
      <c r="U447" s="11" t="s">
        <v>3667</v>
      </c>
      <c r="V447" s="11" t="s">
        <v>3484</v>
      </c>
      <c r="W447" s="54">
        <f>INDEX([1]ACOMPANHAMENTO!H:H,MATCH(A447,[1]ACOMPANHAMENTO!A:A,0))</f>
        <v>45809</v>
      </c>
      <c r="X447" s="11">
        <f t="shared" ca="1" si="6"/>
        <v>-124</v>
      </c>
    </row>
    <row r="448" spans="1:24" x14ac:dyDescent="0.3">
      <c r="A448" s="5">
        <v>488</v>
      </c>
      <c r="B448" s="21">
        <v>129</v>
      </c>
      <c r="C448" s="3" t="s">
        <v>163</v>
      </c>
      <c r="D448" s="4" t="s">
        <v>164</v>
      </c>
      <c r="E448" s="11" t="s">
        <v>2156</v>
      </c>
      <c r="F448" s="18" t="s">
        <v>846</v>
      </c>
      <c r="G448" s="3" t="s">
        <v>161</v>
      </c>
      <c r="H448" s="4" t="s">
        <v>162</v>
      </c>
      <c r="K448" s="8" t="s">
        <v>1092</v>
      </c>
      <c r="S448" t="s">
        <v>1328</v>
      </c>
      <c r="T448" s="11" t="s">
        <v>1327</v>
      </c>
      <c r="U448" s="11" t="s">
        <v>906</v>
      </c>
      <c r="V448" s="11" t="s">
        <v>3479</v>
      </c>
      <c r="W448" s="54">
        <f>INDEX([1]ACOMPANHAMENTO!H:H,MATCH(A448,[1]ACOMPANHAMENTO!A:A,0))</f>
        <v>45809</v>
      </c>
      <c r="X448" s="11">
        <f t="shared" ca="1" si="6"/>
        <v>-124</v>
      </c>
    </row>
    <row r="449" spans="1:24" x14ac:dyDescent="0.3">
      <c r="A449" s="5">
        <v>489</v>
      </c>
      <c r="B449" s="21">
        <v>148</v>
      </c>
      <c r="C449" s="3" t="s">
        <v>193</v>
      </c>
      <c r="D449" s="4" t="s">
        <v>396</v>
      </c>
      <c r="E449" s="11" t="s">
        <v>2156</v>
      </c>
      <c r="F449" s="18" t="s">
        <v>847</v>
      </c>
      <c r="G449" s="3" t="s">
        <v>192</v>
      </c>
      <c r="H449" s="4" t="s">
        <v>395</v>
      </c>
      <c r="K449" s="8" t="s">
        <v>1090</v>
      </c>
      <c r="S449" t="s">
        <v>1376</v>
      </c>
      <c r="T449" s="11" t="s">
        <v>1496</v>
      </c>
      <c r="U449" s="11" t="s">
        <v>667</v>
      </c>
      <c r="V449" s="11" t="s">
        <v>2423</v>
      </c>
      <c r="W449" s="54">
        <f>INDEX([1]ACOMPANHAMENTO!H:H,MATCH(A449,[1]ACOMPANHAMENTO!A:A,0))</f>
        <v>45809</v>
      </c>
      <c r="X449" s="11">
        <f t="shared" ca="1" si="6"/>
        <v>-124</v>
      </c>
    </row>
    <row r="450" spans="1:24" x14ac:dyDescent="0.3">
      <c r="A450" s="5">
        <v>490</v>
      </c>
      <c r="B450" s="21">
        <v>195</v>
      </c>
      <c r="C450" s="3" t="s">
        <v>151</v>
      </c>
      <c r="D450" s="4" t="s">
        <v>377</v>
      </c>
      <c r="E450" s="11" t="s">
        <v>2156</v>
      </c>
      <c r="F450" s="18" t="s">
        <v>848</v>
      </c>
      <c r="G450" s="3" t="s">
        <v>206</v>
      </c>
      <c r="H450" s="4" t="s">
        <v>402</v>
      </c>
      <c r="K450" s="8" t="s">
        <v>1090</v>
      </c>
      <c r="S450" t="s">
        <v>1409</v>
      </c>
      <c r="T450" s="11" t="s">
        <v>1272</v>
      </c>
      <c r="U450" s="11" t="s">
        <v>3628</v>
      </c>
      <c r="V450" s="11" t="s">
        <v>2159</v>
      </c>
      <c r="W450" s="54">
        <f>INDEX([1]ACOMPANHAMENTO!H:H,MATCH(A450,[1]ACOMPANHAMENTO!A:A,0))</f>
        <v>45809</v>
      </c>
      <c r="X450" s="11">
        <f t="shared" ca="1" si="6"/>
        <v>-124</v>
      </c>
    </row>
    <row r="451" spans="1:24" x14ac:dyDescent="0.3">
      <c r="A451" s="5">
        <v>491</v>
      </c>
      <c r="B451" s="21">
        <v>9</v>
      </c>
      <c r="C451" s="3" t="s">
        <v>11</v>
      </c>
      <c r="D451" s="4" t="s">
        <v>297</v>
      </c>
      <c r="E451" s="11" t="s">
        <v>2827</v>
      </c>
      <c r="F451" s="18" t="s">
        <v>849</v>
      </c>
      <c r="G451" s="3" t="s">
        <v>10</v>
      </c>
      <c r="H451" s="4" t="s">
        <v>296</v>
      </c>
      <c r="K451" s="8" t="s">
        <v>1055</v>
      </c>
      <c r="M451" s="35">
        <v>0.03</v>
      </c>
      <c r="S451" t="s">
        <v>1141</v>
      </c>
      <c r="T451" s="11" t="s">
        <v>1151</v>
      </c>
      <c r="U451" s="11" t="s">
        <v>3588</v>
      </c>
      <c r="V451" s="11" t="s">
        <v>3520</v>
      </c>
      <c r="W451" s="54">
        <f>INDEX([1]ACOMPANHAMENTO!H:H,MATCH(A451,[1]ACOMPANHAMENTO!A:A,0))</f>
        <v>46082</v>
      </c>
      <c r="X451" s="11">
        <f t="shared" ref="X451:X514" ca="1" si="7">W451-TODAY()</f>
        <v>149</v>
      </c>
    </row>
    <row r="452" spans="1:24" x14ac:dyDescent="0.3">
      <c r="A452" s="5">
        <v>492</v>
      </c>
      <c r="B452" s="21">
        <v>113</v>
      </c>
      <c r="C452" s="3" t="s">
        <v>139</v>
      </c>
      <c r="D452" s="4" t="s">
        <v>140</v>
      </c>
      <c r="E452" s="11" t="s">
        <v>2548</v>
      </c>
      <c r="F452" s="18" t="s">
        <v>850</v>
      </c>
      <c r="G452" s="3" t="s">
        <v>138</v>
      </c>
      <c r="H452" s="4" t="s">
        <v>369</v>
      </c>
      <c r="K452" s="8" t="s">
        <v>1085</v>
      </c>
      <c r="S452" t="s">
        <v>1306</v>
      </c>
      <c r="T452" s="11" t="s">
        <v>1305</v>
      </c>
      <c r="U452" s="11" t="s">
        <v>3623</v>
      </c>
      <c r="V452" s="11" t="s">
        <v>3521</v>
      </c>
      <c r="W452" s="54">
        <f>INDEX([1]ACOMPANHAMENTO!H:H,MATCH(A452,[1]ACOMPANHAMENTO!A:A,0))</f>
        <v>45778</v>
      </c>
      <c r="X452" s="11">
        <f t="shared" ca="1" si="7"/>
        <v>-155</v>
      </c>
    </row>
    <row r="453" spans="1:24" x14ac:dyDescent="0.3">
      <c r="A453" s="5">
        <v>493</v>
      </c>
      <c r="B453" s="21">
        <v>135</v>
      </c>
      <c r="C453" s="5" t="s">
        <v>174</v>
      </c>
      <c r="D453" s="11" t="s">
        <v>175</v>
      </c>
      <c r="E453" s="11" t="s">
        <v>2548</v>
      </c>
      <c r="F453" s="18" t="s">
        <v>851</v>
      </c>
      <c r="G453" s="3" t="s">
        <v>172</v>
      </c>
      <c r="H453" s="4" t="s">
        <v>499</v>
      </c>
      <c r="K453" s="8" t="s">
        <v>1101</v>
      </c>
      <c r="S453" t="s">
        <v>1374</v>
      </c>
      <c r="T453" s="11" t="s">
        <v>1375</v>
      </c>
      <c r="U453" s="11" t="s">
        <v>664</v>
      </c>
      <c r="V453" s="11" t="s">
        <v>3465</v>
      </c>
      <c r="W453" s="54">
        <f>INDEX([1]ACOMPANHAMENTO!H:H,MATCH(A453,[1]ACOMPANHAMENTO!A:A,0))</f>
        <v>45962</v>
      </c>
      <c r="X453" s="11">
        <f t="shared" ca="1" si="7"/>
        <v>29</v>
      </c>
    </row>
    <row r="454" spans="1:24" x14ac:dyDescent="0.3">
      <c r="A454" s="5">
        <v>494</v>
      </c>
      <c r="B454" s="21">
        <v>99</v>
      </c>
      <c r="C454" s="3" t="s">
        <v>95</v>
      </c>
      <c r="D454" s="4" t="s">
        <v>351</v>
      </c>
      <c r="E454" s="11" t="s">
        <v>2827</v>
      </c>
      <c r="F454" s="18" t="s">
        <v>852</v>
      </c>
      <c r="G454" s="3" t="s">
        <v>96</v>
      </c>
      <c r="H454" s="4" t="s">
        <v>103</v>
      </c>
      <c r="K454" s="8" t="s">
        <v>1052</v>
      </c>
      <c r="M454" s="35">
        <v>0.02</v>
      </c>
      <c r="S454" t="s">
        <v>1242</v>
      </c>
      <c r="T454" s="11" t="s">
        <v>1241</v>
      </c>
      <c r="U454" s="11" t="s">
        <v>852</v>
      </c>
      <c r="V454" s="11" t="s">
        <v>3429</v>
      </c>
      <c r="W454" s="54">
        <f>INDEX([1]ACOMPANHAMENTO!H:H,MATCH(A454,[1]ACOMPANHAMENTO!A:A,0))</f>
        <v>45809</v>
      </c>
      <c r="X454" s="11">
        <f t="shared" ca="1" si="7"/>
        <v>-124</v>
      </c>
    </row>
    <row r="455" spans="1:24" x14ac:dyDescent="0.3">
      <c r="A455" s="5">
        <v>495</v>
      </c>
      <c r="B455" s="21">
        <v>208</v>
      </c>
      <c r="C455" s="3" t="s">
        <v>217</v>
      </c>
      <c r="D455" s="4" t="s">
        <v>271</v>
      </c>
      <c r="E455" s="11" t="s">
        <v>2156</v>
      </c>
      <c r="F455" s="18" t="s">
        <v>853</v>
      </c>
      <c r="G455" s="3" t="s">
        <v>216</v>
      </c>
      <c r="H455" s="4" t="s">
        <v>411</v>
      </c>
      <c r="K455" s="8" t="s">
        <v>1107</v>
      </c>
      <c r="S455" t="s">
        <v>1427</v>
      </c>
      <c r="T455" s="11" t="s">
        <v>1428</v>
      </c>
      <c r="U455" s="11" t="s">
        <v>3641</v>
      </c>
      <c r="V455" s="11" t="s">
        <v>2182</v>
      </c>
      <c r="W455" s="54">
        <f>INDEX([1]ACOMPANHAMENTO!H:H,MATCH(A455,[1]ACOMPANHAMENTO!A:A,0))</f>
        <v>45809</v>
      </c>
      <c r="X455" s="11">
        <f t="shared" ca="1" si="7"/>
        <v>-124</v>
      </c>
    </row>
    <row r="456" spans="1:24" x14ac:dyDescent="0.3">
      <c r="A456" s="5">
        <v>496</v>
      </c>
      <c r="B456" s="21">
        <v>184</v>
      </c>
      <c r="C456" s="3" t="s">
        <v>201</v>
      </c>
      <c r="D456" s="4" t="s">
        <v>268</v>
      </c>
      <c r="E456" s="11" t="s">
        <v>2156</v>
      </c>
      <c r="F456" s="18" t="s">
        <v>854</v>
      </c>
      <c r="G456" s="3" t="s">
        <v>200</v>
      </c>
      <c r="H456" s="4" t="s">
        <v>267</v>
      </c>
      <c r="K456" s="8" t="s">
        <v>1052</v>
      </c>
      <c r="S456" t="s">
        <v>1394</v>
      </c>
      <c r="T456" s="11" t="s">
        <v>1394</v>
      </c>
      <c r="U456" s="11" t="s">
        <v>3636</v>
      </c>
      <c r="V456" s="11" t="s">
        <v>2482</v>
      </c>
      <c r="W456" s="54">
        <f>INDEX([1]ACOMPANHAMENTO!H:H,MATCH(A456,[1]ACOMPANHAMENTO!A:A,0))</f>
        <v>45809</v>
      </c>
      <c r="X456" s="11">
        <f t="shared" ca="1" si="7"/>
        <v>-124</v>
      </c>
    </row>
    <row r="457" spans="1:24" x14ac:dyDescent="0.3">
      <c r="A457" s="5">
        <v>497</v>
      </c>
      <c r="B457" s="21">
        <v>25</v>
      </c>
      <c r="C457" s="3" t="s">
        <v>4</v>
      </c>
      <c r="D457" s="4" t="s">
        <v>292</v>
      </c>
      <c r="E457" s="11" t="s">
        <v>2827</v>
      </c>
      <c r="F457" s="18" t="s">
        <v>855</v>
      </c>
      <c r="G457" s="3" t="s">
        <v>5</v>
      </c>
      <c r="H457" s="4" t="s">
        <v>293</v>
      </c>
      <c r="K457" s="8" t="s">
        <v>1053</v>
      </c>
      <c r="Q457" s="11" t="s">
        <v>1054</v>
      </c>
      <c r="S457" t="s">
        <v>1136</v>
      </c>
      <c r="T457" s="11" t="s">
        <v>1137</v>
      </c>
      <c r="U457" s="11" t="s">
        <v>820</v>
      </c>
      <c r="V457" s="11" t="s">
        <v>3239</v>
      </c>
      <c r="W457" s="54">
        <f>INDEX([1]ACOMPANHAMENTO!H:H,MATCH(A457,[1]ACOMPANHAMENTO!A:A,0))</f>
        <v>45931</v>
      </c>
      <c r="X457" s="11">
        <f t="shared" ca="1" si="7"/>
        <v>-2</v>
      </c>
    </row>
    <row r="458" spans="1:24" x14ac:dyDescent="0.3">
      <c r="A458" s="5">
        <v>498</v>
      </c>
      <c r="B458" s="21">
        <v>212</v>
      </c>
      <c r="C458" s="3" t="s">
        <v>208</v>
      </c>
      <c r="D458" s="4" t="s">
        <v>404</v>
      </c>
      <c r="E458" s="11" t="s">
        <v>2156</v>
      </c>
      <c r="F458" s="18" t="s">
        <v>856</v>
      </c>
      <c r="G458" s="3" t="s">
        <v>207</v>
      </c>
      <c r="H458" s="4" t="s">
        <v>403</v>
      </c>
      <c r="K458" s="8" t="s">
        <v>1090</v>
      </c>
      <c r="S458" t="s">
        <v>1414</v>
      </c>
      <c r="T458" s="11" t="s">
        <v>1415</v>
      </c>
      <c r="U458" s="11" t="s">
        <v>3638</v>
      </c>
      <c r="V458" s="11" t="s">
        <v>2292</v>
      </c>
      <c r="W458" s="54">
        <f>INDEX([1]ACOMPANHAMENTO!H:H,MATCH(A458,[1]ACOMPANHAMENTO!A:A,0))</f>
        <v>45962</v>
      </c>
      <c r="X458" s="11">
        <f t="shared" ca="1" si="7"/>
        <v>29</v>
      </c>
    </row>
    <row r="459" spans="1:24" x14ac:dyDescent="0.3">
      <c r="A459" s="5">
        <v>499</v>
      </c>
      <c r="B459" s="21">
        <v>148</v>
      </c>
      <c r="C459" s="3" t="s">
        <v>193</v>
      </c>
      <c r="D459" s="4" t="s">
        <v>396</v>
      </c>
      <c r="E459" s="11" t="s">
        <v>2156</v>
      </c>
      <c r="F459" s="18" t="s">
        <v>857</v>
      </c>
      <c r="G459" s="3" t="s">
        <v>192</v>
      </c>
      <c r="H459" s="4" t="s">
        <v>395</v>
      </c>
      <c r="K459" s="8" t="s">
        <v>1090</v>
      </c>
      <c r="S459" t="s">
        <v>1376</v>
      </c>
      <c r="T459" s="11" t="s">
        <v>1496</v>
      </c>
      <c r="U459" s="11" t="s">
        <v>667</v>
      </c>
      <c r="V459" s="11" t="s">
        <v>2388</v>
      </c>
      <c r="W459" s="54">
        <f>INDEX([1]ACOMPANHAMENTO!H:H,MATCH(A459,[1]ACOMPANHAMENTO!A:A,0))</f>
        <v>45809</v>
      </c>
      <c r="X459" s="11">
        <f t="shared" ca="1" si="7"/>
        <v>-124</v>
      </c>
    </row>
    <row r="460" spans="1:24" x14ac:dyDescent="0.3">
      <c r="A460" s="5">
        <v>500</v>
      </c>
      <c r="B460" s="21">
        <v>42</v>
      </c>
      <c r="C460" s="3" t="s">
        <v>43</v>
      </c>
      <c r="D460" s="4" t="s">
        <v>319</v>
      </c>
      <c r="E460" s="11" t="s">
        <v>1510</v>
      </c>
      <c r="F460" s="18" t="s">
        <v>858</v>
      </c>
      <c r="G460" s="3" t="s">
        <v>42</v>
      </c>
      <c r="H460" s="4" t="s">
        <v>318</v>
      </c>
      <c r="K460" s="8" t="s">
        <v>1062</v>
      </c>
      <c r="S460" t="s">
        <v>1180</v>
      </c>
      <c r="T460" s="11" t="s">
        <v>1181</v>
      </c>
      <c r="U460" s="11" t="s">
        <v>683</v>
      </c>
      <c r="V460" s="11" t="s">
        <v>3522</v>
      </c>
      <c r="W460" s="54">
        <f>INDEX([1]ACOMPANHAMENTO!H:H,MATCH(A460,[1]ACOMPANHAMENTO!A:A,0))</f>
        <v>45901</v>
      </c>
      <c r="X460" s="11">
        <f t="shared" ca="1" si="7"/>
        <v>-32</v>
      </c>
    </row>
    <row r="461" spans="1:24" x14ac:dyDescent="0.3">
      <c r="A461" s="5">
        <v>501</v>
      </c>
      <c r="B461" s="21">
        <v>129</v>
      </c>
      <c r="C461" s="3" t="s">
        <v>163</v>
      </c>
      <c r="D461" s="4" t="s">
        <v>164</v>
      </c>
      <c r="E461" s="11" t="s">
        <v>2156</v>
      </c>
      <c r="F461" s="18" t="s">
        <v>906</v>
      </c>
      <c r="G461" s="3" t="s">
        <v>434</v>
      </c>
      <c r="H461" s="4" t="s">
        <v>162</v>
      </c>
      <c r="K461" s="8" t="s">
        <v>1092</v>
      </c>
      <c r="S461" t="s">
        <v>1328</v>
      </c>
      <c r="T461" s="11" t="s">
        <v>1327</v>
      </c>
      <c r="U461" s="11" t="s">
        <v>906</v>
      </c>
      <c r="V461" s="11" t="s">
        <v>2224</v>
      </c>
      <c r="W461" s="54">
        <f>INDEX([1]ACOMPANHAMENTO!H:H,MATCH(A461,[1]ACOMPANHAMENTO!A:A,0))</f>
        <v>45809</v>
      </c>
      <c r="X461" s="11">
        <f t="shared" ca="1" si="7"/>
        <v>-124</v>
      </c>
    </row>
    <row r="462" spans="1:24" x14ac:dyDescent="0.3">
      <c r="A462" s="5">
        <v>502</v>
      </c>
      <c r="B462" s="21">
        <v>208</v>
      </c>
      <c r="C462" s="3" t="s">
        <v>217</v>
      </c>
      <c r="D462" s="4" t="s">
        <v>271</v>
      </c>
      <c r="E462" s="11" t="s">
        <v>2156</v>
      </c>
      <c r="F462" s="18" t="s">
        <v>859</v>
      </c>
      <c r="G462" s="3" t="s">
        <v>216</v>
      </c>
      <c r="H462" s="4" t="s">
        <v>411</v>
      </c>
      <c r="K462" s="8" t="s">
        <v>1107</v>
      </c>
      <c r="S462" t="s">
        <v>1427</v>
      </c>
      <c r="T462" s="11" t="s">
        <v>1428</v>
      </c>
      <c r="U462" s="11" t="s">
        <v>3641</v>
      </c>
      <c r="V462" s="11" t="s">
        <v>2399</v>
      </c>
      <c r="W462" s="54">
        <f>INDEX([1]ACOMPANHAMENTO!H:H,MATCH(A462,[1]ACOMPANHAMENTO!A:A,0))</f>
        <v>45809</v>
      </c>
      <c r="X462" s="11">
        <f t="shared" ca="1" si="7"/>
        <v>-124</v>
      </c>
    </row>
    <row r="463" spans="1:24" x14ac:dyDescent="0.3">
      <c r="A463" s="5">
        <v>503</v>
      </c>
      <c r="B463" s="21">
        <v>180</v>
      </c>
      <c r="C463" s="3" t="s">
        <v>196</v>
      </c>
      <c r="D463" s="4" t="s">
        <v>487</v>
      </c>
      <c r="E463" s="11" t="s">
        <v>2156</v>
      </c>
      <c r="F463" s="18" t="s">
        <v>860</v>
      </c>
      <c r="G463" s="3" t="s">
        <v>195</v>
      </c>
      <c r="H463" s="4" t="s">
        <v>397</v>
      </c>
      <c r="K463" s="8" t="s">
        <v>1052</v>
      </c>
      <c r="S463" t="s">
        <v>1385</v>
      </c>
      <c r="T463" s="11" t="s">
        <v>1384</v>
      </c>
      <c r="V463" s="11" t="s">
        <v>3523</v>
      </c>
      <c r="W463" s="54">
        <f>INDEX([1]ACOMPANHAMENTO!H:H,MATCH(A463,[1]ACOMPANHAMENTO!A:A,0))</f>
        <v>45809</v>
      </c>
      <c r="X463" s="11">
        <f t="shared" ca="1" si="7"/>
        <v>-124</v>
      </c>
    </row>
    <row r="464" spans="1:24" x14ac:dyDescent="0.3">
      <c r="A464" s="5">
        <v>504</v>
      </c>
      <c r="B464" s="21">
        <v>209</v>
      </c>
      <c r="C464" s="3" t="s">
        <v>219</v>
      </c>
      <c r="D464" s="4" t="s">
        <v>413</v>
      </c>
      <c r="E464" s="11" t="s">
        <v>2156</v>
      </c>
      <c r="F464" s="18" t="s">
        <v>861</v>
      </c>
      <c r="G464" s="3" t="s">
        <v>218</v>
      </c>
      <c r="H464" s="4" t="s">
        <v>412</v>
      </c>
      <c r="K464" s="8" t="s">
        <v>1090</v>
      </c>
      <c r="S464" t="s">
        <v>1429</v>
      </c>
      <c r="T464" s="11" t="s">
        <v>1430</v>
      </c>
      <c r="U464" s="11" t="s">
        <v>3597</v>
      </c>
      <c r="V464" s="11" t="s">
        <v>3524</v>
      </c>
      <c r="W464" s="54">
        <f>INDEX([1]ACOMPANHAMENTO!H:H,MATCH(A464,[1]ACOMPANHAMENTO!A:A,0))</f>
        <v>46174</v>
      </c>
      <c r="X464" s="11">
        <f t="shared" ca="1" si="7"/>
        <v>241</v>
      </c>
    </row>
    <row r="465" spans="1:24" x14ac:dyDescent="0.3">
      <c r="A465" s="5">
        <v>505</v>
      </c>
      <c r="B465" s="21">
        <v>210</v>
      </c>
      <c r="C465" s="3" t="s">
        <v>147</v>
      </c>
      <c r="D465" s="4" t="s">
        <v>374</v>
      </c>
      <c r="E465" s="11" t="s">
        <v>2548</v>
      </c>
      <c r="F465" s="18" t="s">
        <v>862</v>
      </c>
      <c r="G465" s="3" t="s">
        <v>214</v>
      </c>
      <c r="H465" s="4" t="s">
        <v>409</v>
      </c>
      <c r="K465" s="8" t="s">
        <v>1108</v>
      </c>
      <c r="S465" t="s">
        <v>1431</v>
      </c>
      <c r="T465" s="11" t="s">
        <v>1272</v>
      </c>
      <c r="U465" s="11" t="s">
        <v>3626</v>
      </c>
      <c r="V465" s="11" t="s">
        <v>3525</v>
      </c>
      <c r="W465" s="54">
        <f>INDEX([1]ACOMPANHAMENTO!H:H,MATCH(A465,[1]ACOMPANHAMENTO!A:A,0))</f>
        <v>45870</v>
      </c>
      <c r="X465" s="11">
        <f t="shared" ca="1" si="7"/>
        <v>-63</v>
      </c>
    </row>
    <row r="466" spans="1:24" x14ac:dyDescent="0.3">
      <c r="A466" s="5">
        <v>506</v>
      </c>
      <c r="B466" s="21">
        <v>201</v>
      </c>
      <c r="C466" s="3" t="s">
        <v>213</v>
      </c>
      <c r="D466" s="4" t="s">
        <v>408</v>
      </c>
      <c r="E466" s="11" t="s">
        <v>2156</v>
      </c>
      <c r="F466" s="18" t="s">
        <v>863</v>
      </c>
      <c r="G466" s="3" t="s">
        <v>212</v>
      </c>
      <c r="H466" s="4" t="s">
        <v>407</v>
      </c>
      <c r="K466" s="8" t="s">
        <v>1109</v>
      </c>
      <c r="S466" t="s">
        <v>1421</v>
      </c>
      <c r="T466" s="11" t="s">
        <v>1422</v>
      </c>
      <c r="U466" s="11" t="s">
        <v>3595</v>
      </c>
      <c r="V466" s="11" t="s">
        <v>3526</v>
      </c>
      <c r="W466" s="54">
        <f>INDEX([1]ACOMPANHAMENTO!H:H,MATCH(A466,[1]ACOMPANHAMENTO!A:A,0))</f>
        <v>45778</v>
      </c>
      <c r="X466" s="11">
        <f t="shared" ca="1" si="7"/>
        <v>-155</v>
      </c>
    </row>
    <row r="467" spans="1:24" x14ac:dyDescent="0.3">
      <c r="A467" s="5">
        <v>507</v>
      </c>
      <c r="B467" s="21">
        <v>130</v>
      </c>
      <c r="C467" s="3" t="s">
        <v>149</v>
      </c>
      <c r="D467" s="4" t="s">
        <v>176</v>
      </c>
      <c r="E467" s="11" t="s">
        <v>2156</v>
      </c>
      <c r="F467" s="18" t="s">
        <v>864</v>
      </c>
      <c r="G467" s="3" t="s">
        <v>169</v>
      </c>
      <c r="H467" s="4" t="s">
        <v>385</v>
      </c>
      <c r="K467" s="8" t="s">
        <v>1052</v>
      </c>
      <c r="S467" t="s">
        <v>1332</v>
      </c>
      <c r="T467" s="11" t="s">
        <v>1331</v>
      </c>
      <c r="U467" s="11" t="s">
        <v>716</v>
      </c>
      <c r="V467" s="11" t="s">
        <v>2476</v>
      </c>
      <c r="W467" s="54">
        <f>INDEX([1]ACOMPANHAMENTO!H:H,MATCH(A467,[1]ACOMPANHAMENTO!A:A,0))</f>
        <v>45809</v>
      </c>
      <c r="X467" s="11">
        <f t="shared" ca="1" si="7"/>
        <v>-124</v>
      </c>
    </row>
    <row r="468" spans="1:24" x14ac:dyDescent="0.3">
      <c r="A468" s="5">
        <v>508</v>
      </c>
      <c r="B468" s="21">
        <v>80</v>
      </c>
      <c r="C468" s="3" t="s">
        <v>111</v>
      </c>
      <c r="D468" s="4" t="s">
        <v>450</v>
      </c>
      <c r="E468" s="11" t="s">
        <v>2827</v>
      </c>
      <c r="F468" s="18" t="s">
        <v>865</v>
      </c>
      <c r="G468" s="3" t="s">
        <v>109</v>
      </c>
      <c r="H468" s="4" t="s">
        <v>110</v>
      </c>
      <c r="K468" s="8" t="s">
        <v>1055</v>
      </c>
      <c r="S468" t="s">
        <v>1263</v>
      </c>
      <c r="T468" s="11" t="s">
        <v>1264</v>
      </c>
      <c r="U468" s="11" t="s">
        <v>3620</v>
      </c>
      <c r="V468" s="11" t="s">
        <v>2902</v>
      </c>
      <c r="W468" s="54">
        <f>INDEX([1]ACOMPANHAMENTO!H:H,MATCH(A468,[1]ACOMPANHAMENTO!A:A,0))</f>
        <v>45809</v>
      </c>
      <c r="X468" s="11">
        <f t="shared" ca="1" si="7"/>
        <v>-124</v>
      </c>
    </row>
    <row r="469" spans="1:24" x14ac:dyDescent="0.3">
      <c r="A469" s="5">
        <v>509</v>
      </c>
      <c r="B469" s="21">
        <v>121</v>
      </c>
      <c r="C469" s="3" t="s">
        <v>189</v>
      </c>
      <c r="D469" s="4" t="s">
        <v>394</v>
      </c>
      <c r="E469" s="11" t="s">
        <v>2548</v>
      </c>
      <c r="F469" s="18" t="s">
        <v>866</v>
      </c>
      <c r="G469" s="3" t="s">
        <v>188</v>
      </c>
      <c r="H469" s="4" t="s">
        <v>393</v>
      </c>
      <c r="K469" s="8" t="s">
        <v>1085</v>
      </c>
      <c r="S469" t="s">
        <v>1366</v>
      </c>
      <c r="T469" s="11" t="s">
        <v>1365</v>
      </c>
      <c r="U469" s="11" t="s">
        <v>3632</v>
      </c>
      <c r="V469" s="11" t="s">
        <v>2796</v>
      </c>
      <c r="W469" s="54">
        <f>INDEX([1]ACOMPANHAMENTO!H:H,MATCH(A469,[1]ACOMPANHAMENTO!A:A,0))</f>
        <v>45778</v>
      </c>
      <c r="X469" s="11">
        <f t="shared" ca="1" si="7"/>
        <v>-155</v>
      </c>
    </row>
    <row r="470" spans="1:24" x14ac:dyDescent="0.3">
      <c r="A470" s="5">
        <v>510</v>
      </c>
      <c r="B470" s="21">
        <v>192</v>
      </c>
      <c r="C470" s="3" t="s">
        <v>246</v>
      </c>
      <c r="D470" s="4" t="s">
        <v>486</v>
      </c>
      <c r="E470" s="11" t="s">
        <v>2156</v>
      </c>
      <c r="F470" s="18" t="s">
        <v>867</v>
      </c>
      <c r="G470" s="3" t="s">
        <v>484</v>
      </c>
      <c r="H470" s="4" t="s">
        <v>485</v>
      </c>
      <c r="K470" s="8" t="s">
        <v>1106</v>
      </c>
      <c r="S470" t="s">
        <v>1408</v>
      </c>
      <c r="T470" s="11" t="s">
        <v>1407</v>
      </c>
      <c r="U470" s="11" t="s">
        <v>3657</v>
      </c>
      <c r="V470" s="11" t="s">
        <v>3527</v>
      </c>
      <c r="W470" s="54">
        <f>INDEX([1]ACOMPANHAMENTO!H:H,MATCH(A470,[1]ACOMPANHAMENTO!A:A,0))</f>
        <v>45809</v>
      </c>
      <c r="X470" s="11">
        <f t="shared" ca="1" si="7"/>
        <v>-124</v>
      </c>
    </row>
    <row r="471" spans="1:24" x14ac:dyDescent="0.3">
      <c r="A471" s="5">
        <v>511</v>
      </c>
      <c r="B471" s="21">
        <v>201</v>
      </c>
      <c r="C471" s="3" t="s">
        <v>213</v>
      </c>
      <c r="D471" s="4" t="s">
        <v>408</v>
      </c>
      <c r="E471" s="11" t="s">
        <v>2156</v>
      </c>
      <c r="F471" s="18" t="s">
        <v>868</v>
      </c>
      <c r="G471" s="3" t="s">
        <v>212</v>
      </c>
      <c r="H471" s="4" t="s">
        <v>407</v>
      </c>
      <c r="K471" s="8" t="s">
        <v>1109</v>
      </c>
      <c r="S471" t="s">
        <v>1421</v>
      </c>
      <c r="T471" s="11" t="s">
        <v>1422</v>
      </c>
      <c r="U471" s="11" t="s">
        <v>3595</v>
      </c>
      <c r="V471" s="11" t="s">
        <v>2165</v>
      </c>
      <c r="W471" s="54">
        <f>INDEX([1]ACOMPANHAMENTO!H:H,MATCH(A471,[1]ACOMPANHAMENTO!A:A,0))</f>
        <v>45778</v>
      </c>
      <c r="X471" s="11">
        <f t="shared" ca="1" si="7"/>
        <v>-155</v>
      </c>
    </row>
    <row r="472" spans="1:24" x14ac:dyDescent="0.3">
      <c r="A472" s="5">
        <v>512</v>
      </c>
      <c r="B472" s="21">
        <v>213</v>
      </c>
      <c r="C472" s="3" t="s">
        <v>220</v>
      </c>
      <c r="D472" s="4" t="s">
        <v>428</v>
      </c>
      <c r="E472" s="11" t="s">
        <v>2156</v>
      </c>
      <c r="F472" s="18" t="s">
        <v>869</v>
      </c>
      <c r="G472" s="3" t="s">
        <v>221</v>
      </c>
      <c r="H472" s="4" t="s">
        <v>414</v>
      </c>
      <c r="K472" s="8" t="s">
        <v>1090</v>
      </c>
      <c r="S472" t="s">
        <v>1432</v>
      </c>
      <c r="T472" s="11">
        <v>200</v>
      </c>
      <c r="U472" s="11" t="s">
        <v>869</v>
      </c>
      <c r="V472" s="11" t="s">
        <v>2225</v>
      </c>
      <c r="W472" s="54">
        <f>INDEX([1]ACOMPANHAMENTO!H:H,MATCH(A472,[1]ACOMPANHAMENTO!A:A,0))</f>
        <v>45778</v>
      </c>
      <c r="X472" s="11">
        <f t="shared" ca="1" si="7"/>
        <v>-155</v>
      </c>
    </row>
    <row r="473" spans="1:24" x14ac:dyDescent="0.3">
      <c r="A473" s="5">
        <v>513</v>
      </c>
      <c r="B473" s="21">
        <v>130</v>
      </c>
      <c r="C473" s="3" t="s">
        <v>149</v>
      </c>
      <c r="D473" s="4" t="s">
        <v>176</v>
      </c>
      <c r="E473" s="11" t="s">
        <v>2156</v>
      </c>
      <c r="F473" s="18" t="s">
        <v>870</v>
      </c>
      <c r="G473" s="3" t="s">
        <v>169</v>
      </c>
      <c r="H473" s="4" t="s">
        <v>385</v>
      </c>
      <c r="K473" s="8" t="s">
        <v>1052</v>
      </c>
      <c r="S473" t="s">
        <v>1332</v>
      </c>
      <c r="T473" s="11" t="s">
        <v>1331</v>
      </c>
      <c r="U473" s="11" t="s">
        <v>716</v>
      </c>
      <c r="V473" s="11" t="s">
        <v>2393</v>
      </c>
      <c r="W473" s="54">
        <f>INDEX([1]ACOMPANHAMENTO!H:H,MATCH(A473,[1]ACOMPANHAMENTO!A:A,0))</f>
        <v>45809</v>
      </c>
      <c r="X473" s="11">
        <f t="shared" ca="1" si="7"/>
        <v>-124</v>
      </c>
    </row>
    <row r="474" spans="1:24" x14ac:dyDescent="0.3">
      <c r="A474" s="5">
        <v>514</v>
      </c>
      <c r="B474" s="21">
        <v>177</v>
      </c>
      <c r="C474" s="3" t="s">
        <v>190</v>
      </c>
      <c r="D474" s="4" t="s">
        <v>264</v>
      </c>
      <c r="E474" s="11" t="s">
        <v>2156</v>
      </c>
      <c r="F474" s="18" t="s">
        <v>871</v>
      </c>
      <c r="G474" s="3" t="s">
        <v>191</v>
      </c>
      <c r="H474" s="4" t="s">
        <v>1040</v>
      </c>
      <c r="K474" s="8" t="s">
        <v>1052</v>
      </c>
      <c r="S474" t="s">
        <v>1369</v>
      </c>
      <c r="T474" s="11" t="s">
        <v>1368</v>
      </c>
      <c r="U474" s="11" t="s">
        <v>3633</v>
      </c>
      <c r="V474" s="11" t="s">
        <v>2209</v>
      </c>
      <c r="W474" s="54">
        <f>INDEX([1]ACOMPANHAMENTO!H:H,MATCH(A474,[1]ACOMPANHAMENTO!A:A,0))</f>
        <v>45809</v>
      </c>
      <c r="X474" s="11">
        <f t="shared" ca="1" si="7"/>
        <v>-124</v>
      </c>
    </row>
    <row r="475" spans="1:24" x14ac:dyDescent="0.3">
      <c r="A475" s="5">
        <v>515</v>
      </c>
      <c r="B475" s="21">
        <v>77</v>
      </c>
      <c r="C475" s="3" t="s">
        <v>105</v>
      </c>
      <c r="D475" s="4" t="s">
        <v>356</v>
      </c>
      <c r="E475" s="11" t="s">
        <v>2827</v>
      </c>
      <c r="F475" s="18" t="s">
        <v>872</v>
      </c>
      <c r="G475" s="3" t="s">
        <v>106</v>
      </c>
      <c r="H475" s="4" t="s">
        <v>117</v>
      </c>
      <c r="K475" s="8" t="s">
        <v>1067</v>
      </c>
      <c r="M475" s="35">
        <v>2.5000000000000001E-2</v>
      </c>
      <c r="S475" t="s">
        <v>1254</v>
      </c>
      <c r="T475" s="11" t="s">
        <v>1255</v>
      </c>
      <c r="U475" s="11" t="s">
        <v>694</v>
      </c>
      <c r="V475" s="11" t="s">
        <v>3154</v>
      </c>
      <c r="W475" s="54">
        <f>INDEX([1]ACOMPANHAMENTO!H:H,MATCH(A475,[1]ACOMPANHAMENTO!A:A,0))</f>
        <v>45717</v>
      </c>
      <c r="X475" s="11">
        <f t="shared" ca="1" si="7"/>
        <v>-216</v>
      </c>
    </row>
    <row r="476" spans="1:24" x14ac:dyDescent="0.3">
      <c r="A476" s="5">
        <v>516</v>
      </c>
      <c r="B476" s="21">
        <v>77</v>
      </c>
      <c r="C476" s="3" t="s">
        <v>105</v>
      </c>
      <c r="D476" s="4" t="s">
        <v>356</v>
      </c>
      <c r="E476" s="11" t="s">
        <v>2827</v>
      </c>
      <c r="F476" s="18" t="s">
        <v>873</v>
      </c>
      <c r="G476" s="3" t="s">
        <v>106</v>
      </c>
      <c r="H476" s="4" t="s">
        <v>117</v>
      </c>
      <c r="K476" s="8" t="s">
        <v>1067</v>
      </c>
      <c r="M476" s="35">
        <v>2.5000000000000001E-2</v>
      </c>
      <c r="S476" t="s">
        <v>1254</v>
      </c>
      <c r="T476" s="11" t="s">
        <v>1255</v>
      </c>
      <c r="U476" s="11" t="s">
        <v>694</v>
      </c>
      <c r="V476" s="11" t="s">
        <v>3528</v>
      </c>
      <c r="W476" s="54">
        <f>INDEX([1]ACOMPANHAMENTO!H:H,MATCH(A476,[1]ACOMPANHAMENTO!A:A,0))</f>
        <v>45717</v>
      </c>
      <c r="X476" s="11">
        <f t="shared" ca="1" si="7"/>
        <v>-216</v>
      </c>
    </row>
    <row r="477" spans="1:24" x14ac:dyDescent="0.3">
      <c r="A477" s="5">
        <v>517</v>
      </c>
      <c r="B477" s="21">
        <v>189</v>
      </c>
      <c r="C477" s="3" t="s">
        <v>246</v>
      </c>
      <c r="D477" s="4" t="s">
        <v>486</v>
      </c>
      <c r="E477" s="11" t="s">
        <v>2156</v>
      </c>
      <c r="F477" s="18" t="s">
        <v>874</v>
      </c>
      <c r="G477" s="3" t="s">
        <v>216</v>
      </c>
      <c r="H477" s="4" t="s">
        <v>411</v>
      </c>
      <c r="K477" s="8" t="s">
        <v>1105</v>
      </c>
      <c r="S477" t="s">
        <v>1400</v>
      </c>
      <c r="T477" s="11" t="s">
        <v>1401</v>
      </c>
      <c r="U477" s="11" t="s">
        <v>3657</v>
      </c>
      <c r="V477" s="11" t="s">
        <v>2404</v>
      </c>
      <c r="W477" s="54">
        <f>INDEX([1]ACOMPANHAMENTO!H:H,MATCH(A477,[1]ACOMPANHAMENTO!A:A,0))</f>
        <v>46174</v>
      </c>
      <c r="X477" s="11">
        <f t="shared" ca="1" si="7"/>
        <v>241</v>
      </c>
    </row>
    <row r="478" spans="1:24" x14ac:dyDescent="0.3">
      <c r="A478" s="5">
        <v>518</v>
      </c>
      <c r="B478" s="21">
        <v>199</v>
      </c>
      <c r="C478" s="3" t="s">
        <v>497</v>
      </c>
      <c r="D478" s="4" t="s">
        <v>496</v>
      </c>
      <c r="E478" s="11" t="s">
        <v>2156</v>
      </c>
      <c r="F478" s="18" t="s">
        <v>875</v>
      </c>
      <c r="G478" s="3" t="s">
        <v>209</v>
      </c>
      <c r="H478" s="4" t="s">
        <v>405</v>
      </c>
      <c r="K478" s="8" t="s">
        <v>1090</v>
      </c>
      <c r="S478" t="s">
        <v>1423</v>
      </c>
      <c r="T478" s="11" t="s">
        <v>1424</v>
      </c>
      <c r="U478" s="11" t="s">
        <v>3639</v>
      </c>
      <c r="V478" s="11" t="s">
        <v>3529</v>
      </c>
      <c r="W478" s="54">
        <f>INDEX([1]ACOMPANHAMENTO!H:H,MATCH(A478,[1]ACOMPANHAMENTO!A:A,0))</f>
        <v>45778</v>
      </c>
      <c r="X478" s="11">
        <f t="shared" ca="1" si="7"/>
        <v>-155</v>
      </c>
    </row>
    <row r="479" spans="1:24" x14ac:dyDescent="0.3">
      <c r="A479" s="5">
        <v>519</v>
      </c>
      <c r="B479" s="21">
        <v>196</v>
      </c>
      <c r="C479" s="3" t="s">
        <v>491</v>
      </c>
      <c r="D479" s="4" t="s">
        <v>490</v>
      </c>
      <c r="E479" s="11" t="s">
        <v>2156</v>
      </c>
      <c r="F479" s="18" t="s">
        <v>876</v>
      </c>
      <c r="G479" s="3" t="s">
        <v>489</v>
      </c>
      <c r="H479" s="4" t="s">
        <v>488</v>
      </c>
      <c r="K479" s="8" t="s">
        <v>1090</v>
      </c>
      <c r="S479" t="s">
        <v>1410</v>
      </c>
      <c r="T479" s="11" t="s">
        <v>1411</v>
      </c>
      <c r="U479" s="11" t="s">
        <v>3658</v>
      </c>
      <c r="V479" s="11" t="s">
        <v>2519</v>
      </c>
      <c r="W479" s="54">
        <f>INDEX([1]ACOMPANHAMENTO!H:H,MATCH(A479,[1]ACOMPANHAMENTO!A:A,0))</f>
        <v>45809</v>
      </c>
      <c r="X479" s="11">
        <f t="shared" ca="1" si="7"/>
        <v>-124</v>
      </c>
    </row>
    <row r="480" spans="1:24" x14ac:dyDescent="0.3">
      <c r="A480" s="5">
        <v>520</v>
      </c>
      <c r="B480" s="21">
        <v>212</v>
      </c>
      <c r="C480" s="3" t="s">
        <v>208</v>
      </c>
      <c r="D480" s="4" t="s">
        <v>404</v>
      </c>
      <c r="E480" s="11" t="s">
        <v>2156</v>
      </c>
      <c r="F480" s="18" t="s">
        <v>877</v>
      </c>
      <c r="G480" s="3" t="s">
        <v>207</v>
      </c>
      <c r="H480" s="4" t="s">
        <v>403</v>
      </c>
      <c r="K480" s="8" t="s">
        <v>1090</v>
      </c>
      <c r="S480" t="s">
        <v>1414</v>
      </c>
      <c r="T480" s="11" t="s">
        <v>1415</v>
      </c>
      <c r="U480" s="11" t="s">
        <v>3638</v>
      </c>
      <c r="V480" s="11" t="s">
        <v>3530</v>
      </c>
      <c r="W480" s="54">
        <f>INDEX([1]ACOMPANHAMENTO!H:H,MATCH(A480,[1]ACOMPANHAMENTO!A:A,0))</f>
        <v>45962</v>
      </c>
      <c r="X480" s="11">
        <f t="shared" ca="1" si="7"/>
        <v>29</v>
      </c>
    </row>
    <row r="481" spans="1:24" x14ac:dyDescent="0.3">
      <c r="A481" s="5">
        <v>521</v>
      </c>
      <c r="B481" s="21">
        <v>14</v>
      </c>
      <c r="C481" s="3" t="s">
        <v>16</v>
      </c>
      <c r="D481" s="4" t="s">
        <v>300</v>
      </c>
      <c r="E481" s="11" t="s">
        <v>2827</v>
      </c>
      <c r="F481" s="20" t="s">
        <v>1038</v>
      </c>
      <c r="G481" s="3" t="s">
        <v>17</v>
      </c>
      <c r="H481" s="4" t="s">
        <v>301</v>
      </c>
      <c r="K481" s="8" t="s">
        <v>1052</v>
      </c>
      <c r="M481" s="35">
        <v>0.02</v>
      </c>
      <c r="S481" t="s">
        <v>1144</v>
      </c>
      <c r="T481" s="11" t="s">
        <v>1145</v>
      </c>
      <c r="U481" s="11" t="s">
        <v>731</v>
      </c>
      <c r="V481" s="11" t="s">
        <v>3399</v>
      </c>
      <c r="W481" s="54">
        <f>INDEX([1]ACOMPANHAMENTO!H:H,MATCH(A481,[1]ACOMPANHAMENTO!A:A,0))</f>
        <v>45717</v>
      </c>
      <c r="X481" s="11">
        <f t="shared" ca="1" si="7"/>
        <v>-216</v>
      </c>
    </row>
    <row r="482" spans="1:24" x14ac:dyDescent="0.3">
      <c r="A482" s="5">
        <v>522</v>
      </c>
      <c r="B482" s="21">
        <v>153</v>
      </c>
      <c r="C482" s="3" t="s">
        <v>166</v>
      </c>
      <c r="D482" s="4" t="s">
        <v>382</v>
      </c>
      <c r="E482" s="11" t="s">
        <v>2548</v>
      </c>
      <c r="F482" s="18" t="s">
        <v>878</v>
      </c>
      <c r="G482" s="3" t="s">
        <v>435</v>
      </c>
      <c r="H482" s="4" t="s">
        <v>433</v>
      </c>
      <c r="K482" s="8" t="s">
        <v>1104</v>
      </c>
      <c r="S482" t="s">
        <v>1399</v>
      </c>
      <c r="T482" s="11" t="s">
        <v>1272</v>
      </c>
      <c r="U482" s="11" t="s">
        <v>878</v>
      </c>
      <c r="V482" s="11" t="s">
        <v>3462</v>
      </c>
      <c r="W482" s="54">
        <f>INDEX([1]ACOMPANHAMENTO!H:H,MATCH(A482,[1]ACOMPANHAMENTO!A:A,0))</f>
        <v>45778</v>
      </c>
      <c r="X482" s="11">
        <f t="shared" ca="1" si="7"/>
        <v>-155</v>
      </c>
    </row>
    <row r="483" spans="1:24" x14ac:dyDescent="0.3">
      <c r="A483" s="5">
        <v>523</v>
      </c>
      <c r="B483" s="21">
        <v>199</v>
      </c>
      <c r="C483" s="3" t="s">
        <v>497</v>
      </c>
      <c r="D483" s="4" t="s">
        <v>496</v>
      </c>
      <c r="E483" s="11" t="s">
        <v>2156</v>
      </c>
      <c r="F483" s="18" t="s">
        <v>879</v>
      </c>
      <c r="G483" s="3" t="s">
        <v>209</v>
      </c>
      <c r="H483" s="4" t="s">
        <v>405</v>
      </c>
      <c r="K483" s="8" t="s">
        <v>1090</v>
      </c>
      <c r="S483" t="s">
        <v>1423</v>
      </c>
      <c r="T483" s="11" t="s">
        <v>1424</v>
      </c>
      <c r="U483" s="11" t="s">
        <v>3639</v>
      </c>
      <c r="V483" s="11" t="s">
        <v>2401</v>
      </c>
      <c r="W483" s="54">
        <f>INDEX([1]ACOMPANHAMENTO!H:H,MATCH(A483,[1]ACOMPANHAMENTO!A:A,0))</f>
        <v>45778</v>
      </c>
      <c r="X483" s="11">
        <f t="shared" ca="1" si="7"/>
        <v>-155</v>
      </c>
    </row>
    <row r="484" spans="1:24" x14ac:dyDescent="0.3">
      <c r="A484" s="5">
        <v>524</v>
      </c>
      <c r="B484" s="21">
        <v>217</v>
      </c>
      <c r="C484" s="3" t="s">
        <v>223</v>
      </c>
      <c r="D484" s="4" t="s">
        <v>273</v>
      </c>
      <c r="E484" s="11" t="s">
        <v>1510</v>
      </c>
      <c r="F484" s="18" t="s">
        <v>880</v>
      </c>
      <c r="G484" s="3" t="s">
        <v>222</v>
      </c>
      <c r="H484" s="4" t="s">
        <v>272</v>
      </c>
      <c r="K484" s="8" t="s">
        <v>1110</v>
      </c>
      <c r="S484" t="s">
        <v>1433</v>
      </c>
      <c r="T484" s="11" t="s">
        <v>1434</v>
      </c>
      <c r="U484" s="11" t="s">
        <v>3642</v>
      </c>
      <c r="V484" s="11" t="s">
        <v>3531</v>
      </c>
      <c r="W484" s="54">
        <f>INDEX([1]ACOMPANHAMENTO!H:H,MATCH(A484,[1]ACOMPANHAMENTO!A:A,0))</f>
        <v>45901</v>
      </c>
      <c r="X484" s="11">
        <f t="shared" ca="1" si="7"/>
        <v>-32</v>
      </c>
    </row>
    <row r="485" spans="1:24" x14ac:dyDescent="0.3">
      <c r="A485" s="5">
        <v>525</v>
      </c>
      <c r="B485" s="21">
        <v>195</v>
      </c>
      <c r="C485" s="3" t="s">
        <v>151</v>
      </c>
      <c r="D485" s="4" t="s">
        <v>377</v>
      </c>
      <c r="E485" s="11" t="s">
        <v>2156</v>
      </c>
      <c r="F485" s="18" t="s">
        <v>881</v>
      </c>
      <c r="G485" s="3" t="s">
        <v>206</v>
      </c>
      <c r="H485" s="4" t="s">
        <v>402</v>
      </c>
      <c r="K485" s="8" t="s">
        <v>1090</v>
      </c>
      <c r="S485" t="s">
        <v>1409</v>
      </c>
      <c r="T485" s="11" t="s">
        <v>1272</v>
      </c>
      <c r="U485" s="11" t="s">
        <v>3628</v>
      </c>
      <c r="V485" s="11" t="s">
        <v>3532</v>
      </c>
      <c r="W485" s="54">
        <f>INDEX([1]ACOMPANHAMENTO!H:H,MATCH(A485,[1]ACOMPANHAMENTO!A:A,0))</f>
        <v>45809</v>
      </c>
      <c r="X485" s="11">
        <f t="shared" ca="1" si="7"/>
        <v>-124</v>
      </c>
    </row>
    <row r="486" spans="1:24" x14ac:dyDescent="0.3">
      <c r="A486" s="5">
        <v>526</v>
      </c>
      <c r="B486" s="21">
        <v>191</v>
      </c>
      <c r="C486" s="3" t="s">
        <v>500</v>
      </c>
      <c r="D486" s="4" t="s">
        <v>501</v>
      </c>
      <c r="E486" s="11" t="s">
        <v>2156</v>
      </c>
      <c r="F486" s="18" t="s">
        <v>882</v>
      </c>
      <c r="G486" s="3" t="s">
        <v>200</v>
      </c>
      <c r="H486" s="4" t="s">
        <v>267</v>
      </c>
      <c r="K486" s="8" t="s">
        <v>1090</v>
      </c>
      <c r="S486" t="s">
        <v>1405</v>
      </c>
      <c r="T486" s="11" t="s">
        <v>1406</v>
      </c>
      <c r="U486" s="11" t="s">
        <v>3670</v>
      </c>
      <c r="V486" s="11" t="s">
        <v>2376</v>
      </c>
      <c r="W486" s="54">
        <f>INDEX([1]ACOMPANHAMENTO!H:H,MATCH(A486,[1]ACOMPANHAMENTO!A:A,0))</f>
        <v>45809</v>
      </c>
      <c r="X486" s="11">
        <f t="shared" ca="1" si="7"/>
        <v>-124</v>
      </c>
    </row>
    <row r="487" spans="1:24" x14ac:dyDescent="0.3">
      <c r="A487" s="5">
        <v>527</v>
      </c>
      <c r="B487" s="21">
        <v>29</v>
      </c>
      <c r="C487" s="3" t="s">
        <v>55</v>
      </c>
      <c r="D487" s="4" t="s">
        <v>133</v>
      </c>
      <c r="E487" s="11" t="s">
        <v>2827</v>
      </c>
      <c r="F487" s="18" t="s">
        <v>883</v>
      </c>
      <c r="G487" s="3" t="s">
        <v>54</v>
      </c>
      <c r="H487" s="4" t="s">
        <v>329</v>
      </c>
      <c r="K487" s="8" t="s">
        <v>1067</v>
      </c>
      <c r="M487" s="35">
        <v>2.1999999999999999E-2</v>
      </c>
      <c r="S487" t="s">
        <v>1196</v>
      </c>
      <c r="T487" s="11" t="s">
        <v>1197</v>
      </c>
      <c r="U487" s="11" t="s">
        <v>883</v>
      </c>
      <c r="V487" s="11" t="s">
        <v>3186</v>
      </c>
      <c r="W487" s="54">
        <f>INDEX([1]ACOMPANHAMENTO!H:H,MATCH(A487,[1]ACOMPANHAMENTO!A:A,0))</f>
        <v>45748</v>
      </c>
      <c r="X487" s="11">
        <f t="shared" ca="1" si="7"/>
        <v>-185</v>
      </c>
    </row>
    <row r="488" spans="1:24" x14ac:dyDescent="0.3">
      <c r="A488" s="5">
        <v>528</v>
      </c>
      <c r="B488" s="21">
        <v>201</v>
      </c>
      <c r="C488" s="3" t="s">
        <v>213</v>
      </c>
      <c r="D488" s="4" t="s">
        <v>408</v>
      </c>
      <c r="E488" s="11" t="s">
        <v>2156</v>
      </c>
      <c r="F488" s="18" t="s">
        <v>884</v>
      </c>
      <c r="G488" s="3" t="s">
        <v>212</v>
      </c>
      <c r="H488" s="4" t="s">
        <v>407</v>
      </c>
      <c r="K488" s="8" t="s">
        <v>1109</v>
      </c>
      <c r="S488" t="s">
        <v>1421</v>
      </c>
      <c r="T488" s="11" t="s">
        <v>1422</v>
      </c>
      <c r="U488" s="11" t="s">
        <v>3595</v>
      </c>
      <c r="V488" s="11" t="s">
        <v>3533</v>
      </c>
      <c r="W488" s="54">
        <f>INDEX([1]ACOMPANHAMENTO!H:H,MATCH(A488,[1]ACOMPANHAMENTO!A:A,0))</f>
        <v>45778</v>
      </c>
      <c r="X488" s="11">
        <f t="shared" ca="1" si="7"/>
        <v>-155</v>
      </c>
    </row>
    <row r="489" spans="1:24" x14ac:dyDescent="0.3">
      <c r="A489" s="5">
        <v>529</v>
      </c>
      <c r="B489" s="21">
        <v>105</v>
      </c>
      <c r="C489" s="3" t="s">
        <v>31</v>
      </c>
      <c r="D489" s="4" t="s">
        <v>32</v>
      </c>
      <c r="E489" s="11" t="s">
        <v>2827</v>
      </c>
      <c r="F489" s="18" t="s">
        <v>885</v>
      </c>
      <c r="G489" s="3" t="s">
        <v>22</v>
      </c>
      <c r="H489" s="4" t="s">
        <v>305</v>
      </c>
      <c r="K489" s="8" t="s">
        <v>1052</v>
      </c>
      <c r="M489" s="35">
        <v>0.02</v>
      </c>
      <c r="S489" t="s">
        <v>1170</v>
      </c>
      <c r="T489" s="11" t="s">
        <v>1171</v>
      </c>
      <c r="U489" s="11" t="s">
        <v>557</v>
      </c>
      <c r="V489" s="11" t="s">
        <v>2974</v>
      </c>
      <c r="W489" s="54">
        <f>INDEX([1]ACOMPANHAMENTO!H:H,MATCH(A489,[1]ACOMPANHAMENTO!A:A,0))</f>
        <v>45717</v>
      </c>
      <c r="X489" s="11">
        <f t="shared" ca="1" si="7"/>
        <v>-216</v>
      </c>
    </row>
    <row r="490" spans="1:24" x14ac:dyDescent="0.3">
      <c r="A490" s="5">
        <v>530</v>
      </c>
      <c r="B490" s="21">
        <v>215</v>
      </c>
      <c r="C490" s="3" t="s">
        <v>159</v>
      </c>
      <c r="D490" s="4" t="s">
        <v>160</v>
      </c>
      <c r="E490" s="11" t="s">
        <v>1510</v>
      </c>
      <c r="F490" s="18" t="s">
        <v>886</v>
      </c>
      <c r="G490" s="3" t="s">
        <v>224</v>
      </c>
      <c r="H490" s="4" t="s">
        <v>415</v>
      </c>
      <c r="K490" s="8" t="s">
        <v>1090</v>
      </c>
      <c r="S490" t="s">
        <v>1435</v>
      </c>
      <c r="T490" s="11" t="s">
        <v>1488</v>
      </c>
      <c r="U490" s="11" t="s">
        <v>819</v>
      </c>
      <c r="V490" s="11" t="s">
        <v>2118</v>
      </c>
      <c r="W490" s="54">
        <f>INDEX([1]ACOMPANHAMENTO!H:H,MATCH(A490,[1]ACOMPANHAMENTO!A:A,0))</f>
        <v>45809</v>
      </c>
      <c r="X490" s="11">
        <f t="shared" ca="1" si="7"/>
        <v>-124</v>
      </c>
    </row>
    <row r="491" spans="1:24" x14ac:dyDescent="0.3">
      <c r="A491" s="5">
        <v>531</v>
      </c>
      <c r="B491" s="21">
        <v>216</v>
      </c>
      <c r="C491" s="3" t="s">
        <v>227</v>
      </c>
      <c r="D491" s="4" t="s">
        <v>417</v>
      </c>
      <c r="E491" s="11" t="s">
        <v>1510</v>
      </c>
      <c r="F491" s="18" t="s">
        <v>887</v>
      </c>
      <c r="G491" s="3" t="s">
        <v>225</v>
      </c>
      <c r="H491" s="4" t="s">
        <v>416</v>
      </c>
      <c r="K491" s="8" t="s">
        <v>1111</v>
      </c>
      <c r="Q491" s="11" t="s">
        <v>1111</v>
      </c>
      <c r="S491" t="s">
        <v>1437</v>
      </c>
      <c r="T491" s="11" t="s">
        <v>1436</v>
      </c>
      <c r="U491" s="11" t="s">
        <v>3600</v>
      </c>
      <c r="V491" s="11" t="s">
        <v>1900</v>
      </c>
      <c r="W491" s="54">
        <f>INDEX([1]ACOMPANHAMENTO!H:H,MATCH(A491,[1]ACOMPANHAMENTO!A:A,0))</f>
        <v>45901</v>
      </c>
      <c r="X491" s="11">
        <f t="shared" ca="1" si="7"/>
        <v>-32</v>
      </c>
    </row>
    <row r="492" spans="1:24" x14ac:dyDescent="0.3">
      <c r="A492" s="5">
        <v>532</v>
      </c>
      <c r="B492" s="21">
        <v>177</v>
      </c>
      <c r="C492" s="3" t="s">
        <v>190</v>
      </c>
      <c r="D492" s="4" t="s">
        <v>264</v>
      </c>
      <c r="E492" s="11" t="s">
        <v>2156</v>
      </c>
      <c r="F492" s="18" t="s">
        <v>888</v>
      </c>
      <c r="G492" s="3" t="s">
        <v>191</v>
      </c>
      <c r="H492" s="4" t="s">
        <v>1040</v>
      </c>
      <c r="K492" s="8" t="s">
        <v>1052</v>
      </c>
      <c r="S492" t="s">
        <v>1369</v>
      </c>
      <c r="T492" s="11" t="s">
        <v>1368</v>
      </c>
      <c r="U492" s="11" t="s">
        <v>3633</v>
      </c>
      <c r="V492" s="11" t="s">
        <v>2462</v>
      </c>
      <c r="W492" s="54">
        <f>INDEX([1]ACOMPANHAMENTO!H:H,MATCH(A492,[1]ACOMPANHAMENTO!A:A,0))</f>
        <v>45809</v>
      </c>
      <c r="X492" s="11">
        <f t="shared" ca="1" si="7"/>
        <v>-124</v>
      </c>
    </row>
    <row r="493" spans="1:24" x14ac:dyDescent="0.3">
      <c r="A493" s="5">
        <v>533</v>
      </c>
      <c r="B493" s="21">
        <v>25</v>
      </c>
      <c r="C493" s="3" t="s">
        <v>4</v>
      </c>
      <c r="D493" s="4" t="s">
        <v>292</v>
      </c>
      <c r="E493" s="11" t="s">
        <v>2827</v>
      </c>
      <c r="F493" s="18" t="s">
        <v>889</v>
      </c>
      <c r="G493" s="3" t="s">
        <v>5</v>
      </c>
      <c r="H493" s="4" t="s">
        <v>293</v>
      </c>
      <c r="K493" s="8" t="s">
        <v>1053</v>
      </c>
      <c r="Q493" s="11" t="s">
        <v>1054</v>
      </c>
      <c r="S493" t="s">
        <v>1136</v>
      </c>
      <c r="T493" s="11" t="s">
        <v>1137</v>
      </c>
      <c r="U493" s="11" t="s">
        <v>820</v>
      </c>
      <c r="V493" s="11" t="s">
        <v>3239</v>
      </c>
      <c r="W493" s="54">
        <f>INDEX([1]ACOMPANHAMENTO!H:H,MATCH(A493,[1]ACOMPANHAMENTO!A:A,0))</f>
        <v>45931</v>
      </c>
      <c r="X493" s="11">
        <f t="shared" ca="1" si="7"/>
        <v>-2</v>
      </c>
    </row>
    <row r="494" spans="1:24" x14ac:dyDescent="0.3">
      <c r="A494" s="5">
        <v>534</v>
      </c>
      <c r="B494" s="21">
        <v>153</v>
      </c>
      <c r="C494" s="3" t="s">
        <v>166</v>
      </c>
      <c r="D494" s="4" t="s">
        <v>382</v>
      </c>
      <c r="E494" s="11" t="s">
        <v>2548</v>
      </c>
      <c r="F494" s="18" t="s">
        <v>890</v>
      </c>
      <c r="G494" s="3" t="s">
        <v>435</v>
      </c>
      <c r="H494" s="4" t="s">
        <v>433</v>
      </c>
      <c r="K494" s="8" t="s">
        <v>1104</v>
      </c>
      <c r="S494" t="s">
        <v>1399</v>
      </c>
      <c r="T494" s="11" t="s">
        <v>1272</v>
      </c>
      <c r="U494" s="11" t="s">
        <v>878</v>
      </c>
      <c r="V494" s="11" t="s">
        <v>2636</v>
      </c>
      <c r="W494" s="54">
        <f>INDEX([1]ACOMPANHAMENTO!H:H,MATCH(A494,[1]ACOMPANHAMENTO!A:A,0))</f>
        <v>45778</v>
      </c>
      <c r="X494" s="11">
        <f t="shared" ca="1" si="7"/>
        <v>-155</v>
      </c>
    </row>
    <row r="495" spans="1:24" x14ac:dyDescent="0.3">
      <c r="A495" s="5">
        <v>535</v>
      </c>
      <c r="B495" s="21">
        <v>218</v>
      </c>
      <c r="C495" s="3" t="s">
        <v>226</v>
      </c>
      <c r="D495" s="4" t="s">
        <v>274</v>
      </c>
      <c r="E495" s="11" t="s">
        <v>1510</v>
      </c>
      <c r="F495" s="18" t="s">
        <v>891</v>
      </c>
      <c r="G495" s="3" t="s">
        <v>228</v>
      </c>
      <c r="H495" s="4" t="s">
        <v>418</v>
      </c>
      <c r="K495" s="8" t="s">
        <v>1112</v>
      </c>
      <c r="S495" t="s">
        <v>1438</v>
      </c>
      <c r="T495" s="11" t="s">
        <v>1439</v>
      </c>
      <c r="U495" s="11" t="s">
        <v>3643</v>
      </c>
      <c r="V495" s="11" t="s">
        <v>3534</v>
      </c>
      <c r="W495" s="54">
        <f>INDEX([1]ACOMPANHAMENTO!H:H,MATCH(A495,[1]ACOMPANHAMENTO!A:A,0))</f>
        <v>45901</v>
      </c>
      <c r="X495" s="11">
        <f t="shared" ca="1" si="7"/>
        <v>-32</v>
      </c>
    </row>
    <row r="496" spans="1:24" x14ac:dyDescent="0.3">
      <c r="A496" s="5">
        <v>536</v>
      </c>
      <c r="B496" s="21">
        <v>199</v>
      </c>
      <c r="C496" s="3" t="s">
        <v>497</v>
      </c>
      <c r="D496" s="4" t="s">
        <v>496</v>
      </c>
      <c r="E496" s="11" t="s">
        <v>2156</v>
      </c>
      <c r="F496" s="18" t="s">
        <v>892</v>
      </c>
      <c r="G496" s="3" t="s">
        <v>209</v>
      </c>
      <c r="H496" s="4" t="s">
        <v>405</v>
      </c>
      <c r="K496" s="8" t="s">
        <v>1090</v>
      </c>
      <c r="S496" t="s">
        <v>1423</v>
      </c>
      <c r="T496" s="11" t="s">
        <v>1424</v>
      </c>
      <c r="U496" s="11" t="s">
        <v>3639</v>
      </c>
      <c r="V496" s="11" t="s">
        <v>2299</v>
      </c>
      <c r="W496" s="54">
        <f>INDEX([1]ACOMPANHAMENTO!H:H,MATCH(A496,[1]ACOMPANHAMENTO!A:A,0))</f>
        <v>45778</v>
      </c>
      <c r="X496" s="11">
        <f t="shared" ca="1" si="7"/>
        <v>-155</v>
      </c>
    </row>
    <row r="497" spans="1:24" x14ac:dyDescent="0.3">
      <c r="A497" s="5">
        <v>537</v>
      </c>
      <c r="B497" s="21">
        <v>113</v>
      </c>
      <c r="C497" s="3" t="s">
        <v>139</v>
      </c>
      <c r="D497" s="4" t="s">
        <v>140</v>
      </c>
      <c r="E497" s="11" t="s">
        <v>2548</v>
      </c>
      <c r="F497" s="18" t="s">
        <v>893</v>
      </c>
      <c r="G497" s="3" t="s">
        <v>138</v>
      </c>
      <c r="H497" s="4" t="s">
        <v>369</v>
      </c>
      <c r="K497" s="8" t="s">
        <v>1085</v>
      </c>
      <c r="S497" t="s">
        <v>1306</v>
      </c>
      <c r="T497" s="11" t="s">
        <v>1305</v>
      </c>
      <c r="U497" s="11" t="s">
        <v>3623</v>
      </c>
      <c r="V497" s="11" t="s">
        <v>3535</v>
      </c>
      <c r="W497" s="54">
        <f>INDEX([1]ACOMPANHAMENTO!H:H,MATCH(A497,[1]ACOMPANHAMENTO!A:A,0))</f>
        <v>45778</v>
      </c>
      <c r="X497" s="11">
        <f t="shared" ca="1" si="7"/>
        <v>-155</v>
      </c>
    </row>
    <row r="498" spans="1:24" x14ac:dyDescent="0.3">
      <c r="A498" s="5">
        <v>538</v>
      </c>
      <c r="B498" s="21">
        <v>167</v>
      </c>
      <c r="C498" s="3" t="s">
        <v>183</v>
      </c>
      <c r="D498" s="4" t="s">
        <v>260</v>
      </c>
      <c r="E498" s="11" t="s">
        <v>2548</v>
      </c>
      <c r="F498" s="18" t="s">
        <v>894</v>
      </c>
      <c r="G498" s="3" t="s">
        <v>182</v>
      </c>
      <c r="H498" s="4" t="s">
        <v>259</v>
      </c>
      <c r="K498" s="8" t="s">
        <v>1085</v>
      </c>
      <c r="S498" t="s">
        <v>1346</v>
      </c>
      <c r="T498" s="11" t="s">
        <v>1347</v>
      </c>
      <c r="U498" s="11" t="s">
        <v>3630</v>
      </c>
      <c r="V498" s="11" t="s">
        <v>2654</v>
      </c>
      <c r="W498" s="54">
        <f>INDEX([1]ACOMPANHAMENTO!H:H,MATCH(A498,[1]ACOMPANHAMENTO!A:A,0))</f>
        <v>45778</v>
      </c>
      <c r="X498" s="11">
        <f t="shared" ca="1" si="7"/>
        <v>-155</v>
      </c>
    </row>
    <row r="499" spans="1:24" x14ac:dyDescent="0.3">
      <c r="A499" s="5">
        <v>539</v>
      </c>
      <c r="B499" s="21">
        <v>219</v>
      </c>
      <c r="C499" s="3" t="s">
        <v>504</v>
      </c>
      <c r="D499" s="4" t="s">
        <v>503</v>
      </c>
      <c r="E499" s="11" t="s">
        <v>1510</v>
      </c>
      <c r="F499" s="18" t="s">
        <v>895</v>
      </c>
      <c r="G499" s="3" t="s">
        <v>238</v>
      </c>
      <c r="H499" s="4" t="s">
        <v>502</v>
      </c>
      <c r="K499" s="8" t="s">
        <v>1109</v>
      </c>
      <c r="S499" t="s">
        <v>1440</v>
      </c>
      <c r="T499" s="11" t="s">
        <v>1441</v>
      </c>
      <c r="U499" s="11" t="s">
        <v>3660</v>
      </c>
      <c r="V499" s="11" t="s">
        <v>3536</v>
      </c>
      <c r="W499" s="54">
        <f>INDEX([1]ACOMPANHAMENTO!H:H,MATCH(A499,[1]ACOMPANHAMENTO!A:A,0))</f>
        <v>45901</v>
      </c>
      <c r="X499" s="11">
        <f t="shared" ca="1" si="7"/>
        <v>-32</v>
      </c>
    </row>
    <row r="500" spans="1:24" x14ac:dyDescent="0.3">
      <c r="A500" s="5">
        <v>540</v>
      </c>
      <c r="B500" s="21">
        <v>220</v>
      </c>
      <c r="C500" s="3" t="s">
        <v>229</v>
      </c>
      <c r="D500" s="4" t="s">
        <v>419</v>
      </c>
      <c r="E500" s="11" t="s">
        <v>1510</v>
      </c>
      <c r="F500" s="18" t="s">
        <v>896</v>
      </c>
      <c r="G500" s="3" t="s">
        <v>225</v>
      </c>
      <c r="H500" s="4" t="s">
        <v>416</v>
      </c>
      <c r="K500" s="8" t="s">
        <v>1111</v>
      </c>
      <c r="Q500" s="11" t="s">
        <v>1111</v>
      </c>
      <c r="S500" t="s">
        <v>1443</v>
      </c>
      <c r="T500" s="11" t="s">
        <v>1442</v>
      </c>
      <c r="U500" s="11" t="s">
        <v>3599</v>
      </c>
      <c r="V500" s="11" t="s">
        <v>1576</v>
      </c>
      <c r="W500" s="54">
        <f>INDEX([1]ACOMPANHAMENTO!H:H,MATCH(A500,[1]ACOMPANHAMENTO!A:A,0))</f>
        <v>45901</v>
      </c>
      <c r="X500" s="11">
        <f t="shared" ca="1" si="7"/>
        <v>-32</v>
      </c>
    </row>
    <row r="501" spans="1:24" x14ac:dyDescent="0.3">
      <c r="A501" s="5">
        <v>541</v>
      </c>
      <c r="B501" s="21">
        <v>221</v>
      </c>
      <c r="C501" s="3" t="s">
        <v>203</v>
      </c>
      <c r="D501" s="4" t="s">
        <v>269</v>
      </c>
      <c r="E501" s="11" t="s">
        <v>3315</v>
      </c>
      <c r="F501" s="18" t="s">
        <v>897</v>
      </c>
      <c r="G501" s="3" t="s">
        <v>230</v>
      </c>
      <c r="H501" s="4" t="s">
        <v>275</v>
      </c>
      <c r="K501" s="8" t="s">
        <v>1052</v>
      </c>
      <c r="S501" t="s">
        <v>1444</v>
      </c>
      <c r="T501" s="11" t="s">
        <v>1445</v>
      </c>
      <c r="U501" s="11" t="s">
        <v>3637</v>
      </c>
      <c r="V501" s="11" t="s">
        <v>3537</v>
      </c>
      <c r="W501" s="54">
        <f>INDEX([1]ACOMPANHAMENTO!H:H,MATCH(A501,[1]ACOMPANHAMENTO!A:A,0))</f>
        <v>45962</v>
      </c>
      <c r="X501" s="11">
        <f t="shared" ca="1" si="7"/>
        <v>29</v>
      </c>
    </row>
    <row r="502" spans="1:24" x14ac:dyDescent="0.3">
      <c r="A502" s="5">
        <v>542</v>
      </c>
      <c r="B502" s="21">
        <v>153</v>
      </c>
      <c r="C502" s="3" t="s">
        <v>166</v>
      </c>
      <c r="D502" s="4" t="s">
        <v>382</v>
      </c>
      <c r="E502" s="11" t="s">
        <v>2548</v>
      </c>
      <c r="F502" s="18" t="s">
        <v>898</v>
      </c>
      <c r="G502" s="3" t="s">
        <v>435</v>
      </c>
      <c r="H502" s="4" t="s">
        <v>433</v>
      </c>
      <c r="K502" s="8" t="s">
        <v>1104</v>
      </c>
      <c r="S502" t="s">
        <v>1399</v>
      </c>
      <c r="T502" s="11" t="s">
        <v>1272</v>
      </c>
      <c r="U502" s="11" t="s">
        <v>878</v>
      </c>
      <c r="V502" s="11" t="s">
        <v>2716</v>
      </c>
      <c r="W502" s="54">
        <f>INDEX([1]ACOMPANHAMENTO!H:H,MATCH(A502,[1]ACOMPANHAMENTO!A:A,0))</f>
        <v>45778</v>
      </c>
      <c r="X502" s="11">
        <f t="shared" ca="1" si="7"/>
        <v>-155</v>
      </c>
    </row>
    <row r="503" spans="1:24" x14ac:dyDescent="0.3">
      <c r="A503" s="5">
        <v>543</v>
      </c>
      <c r="B503" s="21">
        <v>250</v>
      </c>
      <c r="C503" s="3" t="s">
        <v>151</v>
      </c>
      <c r="D503" s="4" t="s">
        <v>377</v>
      </c>
      <c r="E503" s="11" t="s">
        <v>2156</v>
      </c>
      <c r="F503" s="18" t="s">
        <v>899</v>
      </c>
      <c r="G503" s="3" t="s">
        <v>249</v>
      </c>
      <c r="H503" s="4" t="s">
        <v>426</v>
      </c>
      <c r="K503" s="8" t="s">
        <v>1090</v>
      </c>
      <c r="S503" t="s">
        <v>1446</v>
      </c>
      <c r="T503" s="11" t="s">
        <v>1272</v>
      </c>
      <c r="U503" s="11" t="s">
        <v>3628</v>
      </c>
      <c r="V503" s="11" t="s">
        <v>2351</v>
      </c>
      <c r="W503" s="54">
        <f>INDEX([1]ACOMPANHAMENTO!H:H,MATCH(A503,[1]ACOMPANHAMENTO!A:A,0))</f>
        <v>45839</v>
      </c>
      <c r="X503" s="11">
        <f t="shared" ca="1" si="7"/>
        <v>-94</v>
      </c>
    </row>
    <row r="504" spans="1:24" x14ac:dyDescent="0.3">
      <c r="A504" s="5">
        <v>544</v>
      </c>
      <c r="B504" s="21">
        <v>192</v>
      </c>
      <c r="C504" s="3" t="s">
        <v>246</v>
      </c>
      <c r="D504" s="4" t="s">
        <v>486</v>
      </c>
      <c r="E504" s="11" t="s">
        <v>2156</v>
      </c>
      <c r="F504" s="18" t="s">
        <v>900</v>
      </c>
      <c r="G504" s="3" t="s">
        <v>484</v>
      </c>
      <c r="H504" s="4" t="s">
        <v>485</v>
      </c>
      <c r="K504" s="8" t="s">
        <v>1106</v>
      </c>
      <c r="S504" t="s">
        <v>1408</v>
      </c>
      <c r="T504" s="11" t="s">
        <v>1407</v>
      </c>
      <c r="U504" s="11" t="s">
        <v>3657</v>
      </c>
      <c r="V504" s="11" t="s">
        <v>2342</v>
      </c>
      <c r="W504" s="54">
        <f>INDEX([1]ACOMPANHAMENTO!H:H,MATCH(A504,[1]ACOMPANHAMENTO!A:A,0))</f>
        <v>45809</v>
      </c>
      <c r="X504" s="11">
        <f t="shared" ca="1" si="7"/>
        <v>-124</v>
      </c>
    </row>
    <row r="505" spans="1:24" x14ac:dyDescent="0.3">
      <c r="A505" s="5">
        <v>545</v>
      </c>
      <c r="B505" s="21">
        <v>123</v>
      </c>
      <c r="C505" s="3" t="s">
        <v>153</v>
      </c>
      <c r="D505" s="4" t="s">
        <v>378</v>
      </c>
      <c r="E505" s="11" t="s">
        <v>2156</v>
      </c>
      <c r="F505" s="18" t="s">
        <v>901</v>
      </c>
      <c r="G505" s="3" t="s">
        <v>150</v>
      </c>
      <c r="H505" s="4" t="s">
        <v>376</v>
      </c>
      <c r="K505" s="8" t="s">
        <v>1090</v>
      </c>
      <c r="S505" t="s">
        <v>1321</v>
      </c>
      <c r="T505" s="11" t="s">
        <v>1272</v>
      </c>
      <c r="U505" s="11" t="s">
        <v>3627</v>
      </c>
      <c r="V505" s="11" t="s">
        <v>2247</v>
      </c>
      <c r="W505" s="54">
        <f>INDEX([1]ACOMPANHAMENTO!H:H,MATCH(A505,[1]ACOMPANHAMENTO!A:A,0))</f>
        <v>45809</v>
      </c>
      <c r="X505" s="11">
        <f t="shared" ca="1" si="7"/>
        <v>-124</v>
      </c>
    </row>
    <row r="506" spans="1:24" x14ac:dyDescent="0.3">
      <c r="A506" s="5">
        <v>546</v>
      </c>
      <c r="B506" s="21">
        <v>172</v>
      </c>
      <c r="C506" s="3" t="s">
        <v>185</v>
      </c>
      <c r="D506" s="4" t="s">
        <v>261</v>
      </c>
      <c r="E506" s="11" t="s">
        <v>2548</v>
      </c>
      <c r="F506" s="18" t="s">
        <v>902</v>
      </c>
      <c r="G506" s="3" t="s">
        <v>184</v>
      </c>
      <c r="H506" s="4" t="s">
        <v>392</v>
      </c>
      <c r="K506" s="8" t="s">
        <v>1098</v>
      </c>
      <c r="S506" t="s">
        <v>1348</v>
      </c>
      <c r="T506" s="11" t="s">
        <v>1349</v>
      </c>
      <c r="U506" s="11" t="s">
        <v>3591</v>
      </c>
      <c r="V506" s="11" t="s">
        <v>2738</v>
      </c>
      <c r="W506" s="54">
        <f>INDEX([1]ACOMPANHAMENTO!H:H,MATCH(A506,[1]ACOMPANHAMENTO!A:A,0))</f>
        <v>45870</v>
      </c>
      <c r="X506" s="11">
        <f t="shared" ca="1" si="7"/>
        <v>-63</v>
      </c>
    </row>
    <row r="507" spans="1:24" x14ac:dyDescent="0.3">
      <c r="A507" s="5">
        <v>547</v>
      </c>
      <c r="B507" s="21">
        <v>223</v>
      </c>
      <c r="C507" s="3" t="s">
        <v>507</v>
      </c>
      <c r="D507" s="4" t="s">
        <v>506</v>
      </c>
      <c r="E507" s="11" t="s">
        <v>1510</v>
      </c>
      <c r="F507" s="18" t="s">
        <v>903</v>
      </c>
      <c r="G507" s="3" t="s">
        <v>240</v>
      </c>
      <c r="H507" s="4" t="s">
        <v>505</v>
      </c>
      <c r="K507" s="8" t="s">
        <v>1113</v>
      </c>
      <c r="S507" t="s">
        <v>1447</v>
      </c>
      <c r="T507" s="11" t="s">
        <v>1448</v>
      </c>
      <c r="U507" s="11" t="s">
        <v>3661</v>
      </c>
      <c r="V507" s="11" t="s">
        <v>1949</v>
      </c>
      <c r="W507" s="54">
        <f>INDEX([1]ACOMPANHAMENTO!H:H,MATCH(A507,[1]ACOMPANHAMENTO!A:A,0))</f>
        <v>45901</v>
      </c>
      <c r="X507" s="11">
        <f t="shared" ca="1" si="7"/>
        <v>-32</v>
      </c>
    </row>
    <row r="508" spans="1:24" x14ac:dyDescent="0.3">
      <c r="A508" s="5">
        <v>548</v>
      </c>
      <c r="B508" s="21">
        <v>212</v>
      </c>
      <c r="C508" s="3" t="s">
        <v>208</v>
      </c>
      <c r="D508" s="4" t="s">
        <v>404</v>
      </c>
      <c r="E508" s="11" t="s">
        <v>2156</v>
      </c>
      <c r="F508" s="18" t="s">
        <v>904</v>
      </c>
      <c r="G508" s="3" t="s">
        <v>207</v>
      </c>
      <c r="H508" s="4" t="s">
        <v>403</v>
      </c>
      <c r="K508" s="8" t="s">
        <v>1090</v>
      </c>
      <c r="S508" t="s">
        <v>1414</v>
      </c>
      <c r="T508" s="11" t="s">
        <v>1415</v>
      </c>
      <c r="U508" s="11" t="s">
        <v>3638</v>
      </c>
      <c r="V508" s="11" t="s">
        <v>3538</v>
      </c>
      <c r="W508" s="54">
        <f>INDEX([1]ACOMPANHAMENTO!H:H,MATCH(A508,[1]ACOMPANHAMENTO!A:A,0))</f>
        <v>45962</v>
      </c>
      <c r="X508" s="11">
        <f t="shared" ca="1" si="7"/>
        <v>29</v>
      </c>
    </row>
    <row r="509" spans="1:24" x14ac:dyDescent="0.3">
      <c r="A509" s="5">
        <v>549</v>
      </c>
      <c r="B509" s="21">
        <v>210</v>
      </c>
      <c r="C509" s="3" t="s">
        <v>147</v>
      </c>
      <c r="D509" s="4" t="s">
        <v>374</v>
      </c>
      <c r="E509" s="11" t="s">
        <v>2548</v>
      </c>
      <c r="F509" s="18" t="s">
        <v>905</v>
      </c>
      <c r="G509" s="3" t="s">
        <v>214</v>
      </c>
      <c r="H509" s="4" t="s">
        <v>409</v>
      </c>
      <c r="K509" s="8" t="s">
        <v>1108</v>
      </c>
      <c r="S509" t="s">
        <v>1431</v>
      </c>
      <c r="T509" s="11" t="s">
        <v>1272</v>
      </c>
      <c r="U509" s="11" t="s">
        <v>3626</v>
      </c>
      <c r="V509" s="11" t="s">
        <v>2813</v>
      </c>
      <c r="W509" s="54">
        <f>INDEX([1]ACOMPANHAMENTO!H:H,MATCH(A509,[1]ACOMPANHAMENTO!A:A,0))</f>
        <v>45870</v>
      </c>
      <c r="X509" s="11">
        <f t="shared" ca="1" si="7"/>
        <v>-63</v>
      </c>
    </row>
    <row r="510" spans="1:24" x14ac:dyDescent="0.3">
      <c r="A510" s="5">
        <v>550</v>
      </c>
      <c r="B510" s="21">
        <v>129</v>
      </c>
      <c r="C510" s="3" t="s">
        <v>163</v>
      </c>
      <c r="D510" s="4" t="s">
        <v>164</v>
      </c>
      <c r="E510" s="11" t="s">
        <v>2156</v>
      </c>
      <c r="F510" s="18" t="s">
        <v>906</v>
      </c>
      <c r="G510" s="3" t="s">
        <v>434</v>
      </c>
      <c r="H510" s="4" t="s">
        <v>162</v>
      </c>
      <c r="K510" s="8" t="s">
        <v>1092</v>
      </c>
      <c r="S510" t="s">
        <v>1328</v>
      </c>
      <c r="T510" s="11" t="s">
        <v>1327</v>
      </c>
      <c r="U510" s="11" t="s">
        <v>906</v>
      </c>
      <c r="V510" s="11" t="s">
        <v>2224</v>
      </c>
      <c r="W510" s="54">
        <f>INDEX([1]ACOMPANHAMENTO!H:H,MATCH(A510,[1]ACOMPANHAMENTO!A:A,0))</f>
        <v>45809</v>
      </c>
      <c r="X510" s="11">
        <f t="shared" ca="1" si="7"/>
        <v>-124</v>
      </c>
    </row>
    <row r="511" spans="1:24" x14ac:dyDescent="0.3">
      <c r="A511" s="5">
        <v>551</v>
      </c>
      <c r="B511" s="21">
        <v>129</v>
      </c>
      <c r="C511" s="3" t="s">
        <v>163</v>
      </c>
      <c r="D511" s="4" t="s">
        <v>164</v>
      </c>
      <c r="E511" s="11" t="s">
        <v>2156</v>
      </c>
      <c r="F511" s="18" t="s">
        <v>907</v>
      </c>
      <c r="G511" s="3" t="s">
        <v>434</v>
      </c>
      <c r="H511" s="4" t="s">
        <v>162</v>
      </c>
      <c r="K511" s="8" t="s">
        <v>1092</v>
      </c>
      <c r="S511" t="s">
        <v>1328</v>
      </c>
      <c r="T511" s="11" t="s">
        <v>1327</v>
      </c>
      <c r="U511" s="11" t="s">
        <v>906</v>
      </c>
      <c r="V511" s="11" t="s">
        <v>2287</v>
      </c>
      <c r="W511" s="54">
        <f>INDEX([1]ACOMPANHAMENTO!H:H,MATCH(A511,[1]ACOMPANHAMENTO!A:A,0))</f>
        <v>45809</v>
      </c>
      <c r="X511" s="11">
        <f t="shared" ca="1" si="7"/>
        <v>-124</v>
      </c>
    </row>
    <row r="512" spans="1:24" x14ac:dyDescent="0.3">
      <c r="A512" s="5">
        <v>552</v>
      </c>
      <c r="B512" s="21">
        <v>224</v>
      </c>
      <c r="C512" s="3" t="s">
        <v>50</v>
      </c>
      <c r="D512" s="4" t="s">
        <v>508</v>
      </c>
      <c r="E512" s="11" t="s">
        <v>2827</v>
      </c>
      <c r="F512" s="18" t="s">
        <v>908</v>
      </c>
      <c r="G512" s="3" t="s">
        <v>3</v>
      </c>
      <c r="H512" s="4" t="s">
        <v>7</v>
      </c>
      <c r="K512" s="8" t="s">
        <v>1059</v>
      </c>
      <c r="S512" t="s">
        <v>1450</v>
      </c>
      <c r="T512" s="11" t="s">
        <v>1449</v>
      </c>
      <c r="U512" s="11" t="s">
        <v>3611</v>
      </c>
      <c r="V512" s="11" t="s">
        <v>3539</v>
      </c>
      <c r="W512" s="54">
        <f>INDEX([1]ACOMPANHAMENTO!H:H,MATCH(A512,[1]ACOMPANHAMENTO!A:A,0))</f>
        <v>45717</v>
      </c>
      <c r="X512" s="11">
        <f t="shared" ca="1" si="7"/>
        <v>-216</v>
      </c>
    </row>
    <row r="513" spans="1:24" x14ac:dyDescent="0.3">
      <c r="A513" s="5">
        <v>553</v>
      </c>
      <c r="B513" s="21">
        <v>121</v>
      </c>
      <c r="C513" s="3" t="s">
        <v>189</v>
      </c>
      <c r="D513" s="4" t="s">
        <v>394</v>
      </c>
      <c r="E513" s="11" t="s">
        <v>2548</v>
      </c>
      <c r="F513" s="18" t="s">
        <v>909</v>
      </c>
      <c r="G513" s="3" t="s">
        <v>188</v>
      </c>
      <c r="H513" s="4" t="s">
        <v>393</v>
      </c>
      <c r="K513" s="8" t="s">
        <v>1085</v>
      </c>
      <c r="S513" t="s">
        <v>1366</v>
      </c>
      <c r="T513" s="11" t="s">
        <v>1365</v>
      </c>
      <c r="U513" s="11" t="s">
        <v>3632</v>
      </c>
      <c r="V513" s="11" t="s">
        <v>2677</v>
      </c>
      <c r="W513" s="54">
        <f>INDEX([1]ACOMPANHAMENTO!H:H,MATCH(A513,[1]ACOMPANHAMENTO!A:A,0))</f>
        <v>45778</v>
      </c>
      <c r="X513" s="11">
        <f t="shared" ca="1" si="7"/>
        <v>-155</v>
      </c>
    </row>
    <row r="514" spans="1:24" x14ac:dyDescent="0.3">
      <c r="A514" s="5">
        <v>554</v>
      </c>
      <c r="B514" s="21">
        <v>243</v>
      </c>
      <c r="C514" s="3" t="s">
        <v>220</v>
      </c>
      <c r="D514" s="4" t="s">
        <v>428</v>
      </c>
      <c r="E514" s="11" t="s">
        <v>2156</v>
      </c>
      <c r="F514" s="18" t="s">
        <v>910</v>
      </c>
      <c r="G514" s="3" t="s">
        <v>209</v>
      </c>
      <c r="H514" s="4" t="s">
        <v>405</v>
      </c>
      <c r="K514" s="8" t="s">
        <v>1090</v>
      </c>
      <c r="S514" t="s">
        <v>1451</v>
      </c>
      <c r="T514" s="11" t="s">
        <v>1272</v>
      </c>
      <c r="U514" s="11" t="s">
        <v>869</v>
      </c>
      <c r="V514" s="11" t="s">
        <v>2175</v>
      </c>
      <c r="W514" s="54">
        <f>INDEX([1]ACOMPANHAMENTO!H:H,MATCH(A514,[1]ACOMPANHAMENTO!A:A,0))</f>
        <v>45778</v>
      </c>
      <c r="X514" s="11">
        <f t="shared" ca="1" si="7"/>
        <v>-155</v>
      </c>
    </row>
    <row r="515" spans="1:24" x14ac:dyDescent="0.3">
      <c r="A515" s="5">
        <v>555</v>
      </c>
      <c r="B515" s="21">
        <v>207</v>
      </c>
      <c r="C515" s="5" t="s">
        <v>204</v>
      </c>
      <c r="D515" s="11" t="s">
        <v>400</v>
      </c>
      <c r="E515" s="11" t="s">
        <v>3315</v>
      </c>
      <c r="F515" s="18" t="s">
        <v>911</v>
      </c>
      <c r="G515" s="3" t="s">
        <v>205</v>
      </c>
      <c r="H515" s="4" t="s">
        <v>401</v>
      </c>
      <c r="K515" s="8" t="s">
        <v>1067</v>
      </c>
      <c r="S515" t="s">
        <v>1402</v>
      </c>
      <c r="T515" s="11" t="s">
        <v>1403</v>
      </c>
      <c r="U515" s="11" t="s">
        <v>3593</v>
      </c>
      <c r="V515" s="11" t="s">
        <v>3540</v>
      </c>
      <c r="W515" s="54">
        <f>INDEX([1]ACOMPANHAMENTO!H:H,MATCH(A515,[1]ACOMPANHAMENTO!A:A,0))</f>
        <v>45962</v>
      </c>
      <c r="X515" s="11">
        <f t="shared" ref="X515:X578" ca="1" si="8">W515-TODAY()</f>
        <v>29</v>
      </c>
    </row>
    <row r="516" spans="1:24" x14ac:dyDescent="0.3">
      <c r="A516" s="5">
        <v>556</v>
      </c>
      <c r="B516" s="21">
        <v>201</v>
      </c>
      <c r="C516" s="3" t="s">
        <v>213</v>
      </c>
      <c r="D516" s="4" t="s">
        <v>408</v>
      </c>
      <c r="E516" s="11" t="s">
        <v>2156</v>
      </c>
      <c r="F516" s="18" t="s">
        <v>912</v>
      </c>
      <c r="G516" s="3" t="s">
        <v>212</v>
      </c>
      <c r="H516" s="4" t="s">
        <v>407</v>
      </c>
      <c r="K516" s="8" t="s">
        <v>1109</v>
      </c>
      <c r="S516" t="s">
        <v>1421</v>
      </c>
      <c r="T516" s="11" t="s">
        <v>1422</v>
      </c>
      <c r="U516" s="11" t="s">
        <v>3595</v>
      </c>
      <c r="V516" s="11" t="s">
        <v>3541</v>
      </c>
      <c r="W516" s="54">
        <f>INDEX([1]ACOMPANHAMENTO!H:H,MATCH(A516,[1]ACOMPANHAMENTO!A:A,0))</f>
        <v>45778</v>
      </c>
      <c r="X516" s="11">
        <f t="shared" ca="1" si="8"/>
        <v>-155</v>
      </c>
    </row>
    <row r="517" spans="1:24" x14ac:dyDescent="0.3">
      <c r="A517" s="5">
        <v>557</v>
      </c>
      <c r="B517" s="21">
        <v>227</v>
      </c>
      <c r="C517" s="3" t="s">
        <v>203</v>
      </c>
      <c r="D517" s="4" t="s">
        <v>269</v>
      </c>
      <c r="E517" s="11" t="s">
        <v>3315</v>
      </c>
      <c r="F517" s="18" t="s">
        <v>913</v>
      </c>
      <c r="G517" s="3" t="s">
        <v>231</v>
      </c>
      <c r="H517" s="4" t="s">
        <v>276</v>
      </c>
      <c r="K517" s="8" t="s">
        <v>1052</v>
      </c>
      <c r="S517" t="s">
        <v>1453</v>
      </c>
      <c r="T517" s="11" t="s">
        <v>1452</v>
      </c>
      <c r="U517" s="11" t="s">
        <v>3637</v>
      </c>
      <c r="V517" s="11" t="s">
        <v>3542</v>
      </c>
      <c r="W517" s="54">
        <f>INDEX([1]ACOMPANHAMENTO!H:H,MATCH(A517,[1]ACOMPANHAMENTO!A:A,0))</f>
        <v>46327</v>
      </c>
      <c r="X517" s="11">
        <f t="shared" ca="1" si="8"/>
        <v>394</v>
      </c>
    </row>
    <row r="518" spans="1:24" x14ac:dyDescent="0.3">
      <c r="A518" s="5">
        <v>558</v>
      </c>
      <c r="B518" s="21">
        <v>209</v>
      </c>
      <c r="C518" s="3" t="s">
        <v>219</v>
      </c>
      <c r="D518" s="4" t="s">
        <v>413</v>
      </c>
      <c r="E518" s="11" t="s">
        <v>2156</v>
      </c>
      <c r="F518" s="18" t="s">
        <v>914</v>
      </c>
      <c r="G518" s="3" t="s">
        <v>218</v>
      </c>
      <c r="H518" s="4" t="s">
        <v>412</v>
      </c>
      <c r="K518" s="8" t="s">
        <v>1090</v>
      </c>
      <c r="S518" t="s">
        <v>1429</v>
      </c>
      <c r="T518" s="11" t="s">
        <v>1430</v>
      </c>
      <c r="U518" s="11" t="s">
        <v>3597</v>
      </c>
      <c r="V518" s="11" t="s">
        <v>2355</v>
      </c>
      <c r="W518" s="54">
        <f>INDEX([1]ACOMPANHAMENTO!H:H,MATCH(A518,[1]ACOMPANHAMENTO!A:A,0))</f>
        <v>46174</v>
      </c>
      <c r="X518" s="11">
        <f t="shared" ca="1" si="8"/>
        <v>241</v>
      </c>
    </row>
    <row r="519" spans="1:24" x14ac:dyDescent="0.3">
      <c r="A519" s="5">
        <v>559</v>
      </c>
      <c r="B519" s="21">
        <v>228</v>
      </c>
      <c r="C519" s="3" t="s">
        <v>512</v>
      </c>
      <c r="D519" s="4" t="s">
        <v>511</v>
      </c>
      <c r="E519" s="11" t="s">
        <v>1510</v>
      </c>
      <c r="F519" s="18" t="s">
        <v>915</v>
      </c>
      <c r="G519" s="3" t="s">
        <v>510</v>
      </c>
      <c r="H519" s="4" t="s">
        <v>509</v>
      </c>
      <c r="K519" s="8" t="s">
        <v>1114</v>
      </c>
      <c r="S519" t="s">
        <v>1454</v>
      </c>
      <c r="T519" s="11" t="s">
        <v>1455</v>
      </c>
      <c r="U519" s="11" t="s">
        <v>3662</v>
      </c>
      <c r="V519" s="11" t="s">
        <v>3394</v>
      </c>
      <c r="W519" s="54">
        <f>INDEX([1]ACOMPANHAMENTO!H:H,MATCH(A519,[1]ACOMPANHAMENTO!A:A,0))</f>
        <v>45901</v>
      </c>
      <c r="X519" s="11">
        <f t="shared" ca="1" si="8"/>
        <v>-32</v>
      </c>
    </row>
    <row r="520" spans="1:24" x14ac:dyDescent="0.3">
      <c r="A520" s="5">
        <v>560</v>
      </c>
      <c r="B520" s="21">
        <v>231</v>
      </c>
      <c r="C520" s="5" t="s">
        <v>204</v>
      </c>
      <c r="D520" s="11" t="s">
        <v>400</v>
      </c>
      <c r="E520" s="11" t="s">
        <v>3315</v>
      </c>
      <c r="F520" s="18" t="s">
        <v>916</v>
      </c>
      <c r="G520" s="3" t="s">
        <v>205</v>
      </c>
      <c r="H520" s="4" t="s">
        <v>401</v>
      </c>
      <c r="K520" s="8" t="s">
        <v>1052</v>
      </c>
      <c r="S520" t="s">
        <v>1456</v>
      </c>
      <c r="T520" s="11" t="s">
        <v>1457</v>
      </c>
      <c r="U520" s="11" t="s">
        <v>3593</v>
      </c>
      <c r="V520" s="11" t="s">
        <v>3354</v>
      </c>
      <c r="W520" s="54">
        <f>INDEX([1]ACOMPANHAMENTO!H:H,MATCH(A520,[1]ACOMPANHAMENTO!A:A,0))</f>
        <v>45962</v>
      </c>
      <c r="X520" s="11">
        <f t="shared" ca="1" si="8"/>
        <v>29</v>
      </c>
    </row>
    <row r="521" spans="1:24" x14ac:dyDescent="0.3">
      <c r="A521" s="5">
        <v>561</v>
      </c>
      <c r="B521" s="21">
        <v>149</v>
      </c>
      <c r="C521" s="3" t="s">
        <v>468</v>
      </c>
      <c r="D521" s="4" t="s">
        <v>467</v>
      </c>
      <c r="E521" s="11" t="s">
        <v>2548</v>
      </c>
      <c r="F521" s="18" t="s">
        <v>917</v>
      </c>
      <c r="G521" s="3" t="s">
        <v>154</v>
      </c>
      <c r="H521" s="4" t="s">
        <v>155</v>
      </c>
      <c r="K521" s="8" t="s">
        <v>1095</v>
      </c>
      <c r="S521" t="s">
        <v>1337</v>
      </c>
      <c r="T521" s="11" t="s">
        <v>1336</v>
      </c>
      <c r="U521" s="11" t="s">
        <v>3655</v>
      </c>
      <c r="V521" s="11" t="s">
        <v>2680</v>
      </c>
      <c r="W521" s="54">
        <f>INDEX([1]ACOMPANHAMENTO!H:H,MATCH(A521,[1]ACOMPANHAMENTO!A:A,0))</f>
        <v>45839</v>
      </c>
      <c r="X521" s="11">
        <f t="shared" ca="1" si="8"/>
        <v>-94</v>
      </c>
    </row>
    <row r="522" spans="1:24" x14ac:dyDescent="0.3">
      <c r="A522" s="5">
        <v>562</v>
      </c>
      <c r="B522" s="21">
        <v>148</v>
      </c>
      <c r="C522" s="3" t="s">
        <v>193</v>
      </c>
      <c r="D522" s="4" t="s">
        <v>396</v>
      </c>
      <c r="E522" s="11" t="s">
        <v>2156</v>
      </c>
      <c r="F522" s="18" t="s">
        <v>918</v>
      </c>
      <c r="G522" s="3" t="s">
        <v>192</v>
      </c>
      <c r="H522" s="4" t="s">
        <v>395</v>
      </c>
      <c r="K522" s="8" t="s">
        <v>1090</v>
      </c>
      <c r="S522" t="s">
        <v>1376</v>
      </c>
      <c r="T522" s="11" t="s">
        <v>1496</v>
      </c>
      <c r="U522" s="11" t="s">
        <v>667</v>
      </c>
      <c r="V522" s="11" t="s">
        <v>3543</v>
      </c>
      <c r="W522" s="54">
        <f>INDEX([1]ACOMPANHAMENTO!H:H,MATCH(A522,[1]ACOMPANHAMENTO!A:A,0))</f>
        <v>45809</v>
      </c>
      <c r="X522" s="11">
        <f t="shared" ca="1" si="8"/>
        <v>-124</v>
      </c>
    </row>
    <row r="523" spans="1:24" x14ac:dyDescent="0.3">
      <c r="A523" s="5">
        <v>563</v>
      </c>
      <c r="B523" s="21">
        <v>192</v>
      </c>
      <c r="C523" s="3" t="s">
        <v>246</v>
      </c>
      <c r="D523" s="4" t="s">
        <v>486</v>
      </c>
      <c r="E523" s="11" t="s">
        <v>2156</v>
      </c>
      <c r="F523" s="18" t="s">
        <v>919</v>
      </c>
      <c r="G523" s="3" t="s">
        <v>484</v>
      </c>
      <c r="H523" s="4" t="s">
        <v>485</v>
      </c>
      <c r="K523" s="8" t="s">
        <v>1106</v>
      </c>
      <c r="S523" t="s">
        <v>1408</v>
      </c>
      <c r="T523" s="11" t="s">
        <v>1407</v>
      </c>
      <c r="U523" s="11" t="s">
        <v>3657</v>
      </c>
      <c r="V523" s="11" t="s">
        <v>2524</v>
      </c>
      <c r="W523" s="54">
        <f>INDEX([1]ACOMPANHAMENTO!H:H,MATCH(A523,[1]ACOMPANHAMENTO!A:A,0))</f>
        <v>45809</v>
      </c>
      <c r="X523" s="11">
        <f t="shared" ca="1" si="8"/>
        <v>-124</v>
      </c>
    </row>
    <row r="524" spans="1:24" x14ac:dyDescent="0.3">
      <c r="A524" s="5">
        <v>564</v>
      </c>
      <c r="B524" s="21">
        <v>232</v>
      </c>
      <c r="C524" s="3" t="s">
        <v>6</v>
      </c>
      <c r="D524" s="4" t="s">
        <v>430</v>
      </c>
      <c r="E524" s="11" t="s">
        <v>2156</v>
      </c>
      <c r="F524" s="18" t="s">
        <v>920</v>
      </c>
      <c r="G524" s="3" t="s">
        <v>514</v>
      </c>
      <c r="H524" s="4" t="s">
        <v>513</v>
      </c>
      <c r="K524" s="8" t="s">
        <v>1109</v>
      </c>
      <c r="S524" t="s">
        <v>1272</v>
      </c>
      <c r="T524" s="11" t="s">
        <v>1272</v>
      </c>
      <c r="U524" s="11" t="s">
        <v>920</v>
      </c>
      <c r="V524" s="11" t="s">
        <v>3544</v>
      </c>
      <c r="W524" s="54">
        <f>INDEX([1]ACOMPANHAMENTO!H:H,MATCH(A524,[1]ACOMPANHAMENTO!A:A,0))</f>
        <v>45962</v>
      </c>
      <c r="X524" s="11">
        <f t="shared" ca="1" si="8"/>
        <v>29</v>
      </c>
    </row>
    <row r="525" spans="1:24" x14ac:dyDescent="0.3">
      <c r="A525" s="5">
        <v>565</v>
      </c>
      <c r="B525" s="21">
        <v>131</v>
      </c>
      <c r="C525" s="5" t="s">
        <v>171</v>
      </c>
      <c r="D525" s="11" t="s">
        <v>387</v>
      </c>
      <c r="E525" s="11" t="s">
        <v>1510</v>
      </c>
      <c r="F525" s="18" t="s">
        <v>921</v>
      </c>
      <c r="G525" s="3" t="s">
        <v>170</v>
      </c>
      <c r="H525" s="4" t="s">
        <v>437</v>
      </c>
      <c r="K525" s="8" t="s">
        <v>1094</v>
      </c>
      <c r="S525" t="s">
        <v>1335</v>
      </c>
      <c r="T525" s="11" t="s">
        <v>1331</v>
      </c>
      <c r="U525" s="11" t="s">
        <v>663</v>
      </c>
      <c r="V525" s="11" t="s">
        <v>1864</v>
      </c>
      <c r="W525" s="54">
        <f>INDEX([1]ACOMPANHAMENTO!H:H,MATCH(A525,[1]ACOMPANHAMENTO!A:A,0))</f>
        <v>45778</v>
      </c>
      <c r="X525" s="11">
        <f t="shared" ca="1" si="8"/>
        <v>-155</v>
      </c>
    </row>
    <row r="526" spans="1:24" x14ac:dyDescent="0.3">
      <c r="A526" s="5">
        <v>566</v>
      </c>
      <c r="B526" s="21">
        <v>213</v>
      </c>
      <c r="C526" s="3" t="s">
        <v>220</v>
      </c>
      <c r="D526" s="4" t="s">
        <v>428</v>
      </c>
      <c r="E526" s="11" t="s">
        <v>2156</v>
      </c>
      <c r="F526" s="18" t="s">
        <v>922</v>
      </c>
      <c r="G526" s="3" t="s">
        <v>221</v>
      </c>
      <c r="H526" s="4" t="s">
        <v>414</v>
      </c>
      <c r="K526" s="8" t="s">
        <v>1090</v>
      </c>
      <c r="S526" t="s">
        <v>1432</v>
      </c>
      <c r="T526" s="11">
        <v>200</v>
      </c>
      <c r="U526" s="11" t="s">
        <v>869</v>
      </c>
      <c r="V526" s="11" t="s">
        <v>3545</v>
      </c>
      <c r="W526" s="54">
        <f>INDEX([1]ACOMPANHAMENTO!H:H,MATCH(A526,[1]ACOMPANHAMENTO!A:A,0))</f>
        <v>45778</v>
      </c>
      <c r="X526" s="11">
        <f t="shared" ca="1" si="8"/>
        <v>-155</v>
      </c>
    </row>
    <row r="527" spans="1:24" x14ac:dyDescent="0.3">
      <c r="A527" s="5">
        <v>567</v>
      </c>
      <c r="B527" s="21">
        <v>234</v>
      </c>
      <c r="C527" s="3" t="s">
        <v>203</v>
      </c>
      <c r="D527" s="4" t="s">
        <v>269</v>
      </c>
      <c r="E527" s="11" t="s">
        <v>3315</v>
      </c>
      <c r="F527" s="18" t="s">
        <v>923</v>
      </c>
      <c r="G527" s="3" t="s">
        <v>232</v>
      </c>
      <c r="H527" s="4" t="s">
        <v>420</v>
      </c>
      <c r="K527" s="8" t="s">
        <v>1115</v>
      </c>
      <c r="S527" t="s">
        <v>1459</v>
      </c>
      <c r="T527" s="11" t="s">
        <v>1458</v>
      </c>
      <c r="U527" s="11" t="s">
        <v>3637</v>
      </c>
      <c r="V527" s="11" t="s">
        <v>3546</v>
      </c>
      <c r="W527" s="54">
        <f>INDEX([1]ACOMPANHAMENTO!H:H,MATCH(A527,[1]ACOMPANHAMENTO!A:A,0))</f>
        <v>46327</v>
      </c>
      <c r="X527" s="11">
        <f t="shared" ca="1" si="8"/>
        <v>394</v>
      </c>
    </row>
    <row r="528" spans="1:24" x14ac:dyDescent="0.3">
      <c r="A528" s="5">
        <v>568</v>
      </c>
      <c r="B528" s="21">
        <v>113</v>
      </c>
      <c r="C528" s="3" t="s">
        <v>139</v>
      </c>
      <c r="D528" s="4" t="s">
        <v>140</v>
      </c>
      <c r="E528" s="11" t="s">
        <v>2548</v>
      </c>
      <c r="F528" s="18" t="s">
        <v>924</v>
      </c>
      <c r="G528" s="3" t="s">
        <v>138</v>
      </c>
      <c r="H528" s="4" t="s">
        <v>369</v>
      </c>
      <c r="K528" s="8" t="s">
        <v>1085</v>
      </c>
      <c r="S528" t="s">
        <v>1306</v>
      </c>
      <c r="T528" s="11" t="s">
        <v>1305</v>
      </c>
      <c r="U528" s="11" t="s">
        <v>3623</v>
      </c>
      <c r="V528" s="11" t="s">
        <v>3547</v>
      </c>
      <c r="W528" s="54">
        <f>INDEX([1]ACOMPANHAMENTO!H:H,MATCH(A528,[1]ACOMPANHAMENTO!A:A,0))</f>
        <v>45778</v>
      </c>
      <c r="X528" s="11">
        <f t="shared" ca="1" si="8"/>
        <v>-155</v>
      </c>
    </row>
    <row r="529" spans="1:24" x14ac:dyDescent="0.3">
      <c r="A529" s="5">
        <v>569</v>
      </c>
      <c r="B529" s="21">
        <v>195</v>
      </c>
      <c r="C529" s="3" t="s">
        <v>151</v>
      </c>
      <c r="D529" s="4" t="s">
        <v>377</v>
      </c>
      <c r="E529" s="11" t="s">
        <v>2156</v>
      </c>
      <c r="F529" s="18" t="s">
        <v>925</v>
      </c>
      <c r="G529" s="3" t="s">
        <v>206</v>
      </c>
      <c r="H529" s="4" t="s">
        <v>402</v>
      </c>
      <c r="K529" s="8" t="s">
        <v>1090</v>
      </c>
      <c r="S529" t="s">
        <v>1409</v>
      </c>
      <c r="T529" s="11" t="s">
        <v>1272</v>
      </c>
      <c r="U529" s="11" t="s">
        <v>3628</v>
      </c>
      <c r="V529" s="11" t="s">
        <v>2451</v>
      </c>
      <c r="W529" s="54">
        <f>INDEX([1]ACOMPANHAMENTO!H:H,MATCH(A529,[1]ACOMPANHAMENTO!A:A,0))</f>
        <v>45809</v>
      </c>
      <c r="X529" s="11">
        <f t="shared" ca="1" si="8"/>
        <v>-124</v>
      </c>
    </row>
    <row r="530" spans="1:24" x14ac:dyDescent="0.3">
      <c r="A530" s="5">
        <v>570</v>
      </c>
      <c r="B530" s="21">
        <v>235</v>
      </c>
      <c r="C530" s="3" t="s">
        <v>516</v>
      </c>
      <c r="D530" s="4" t="s">
        <v>515</v>
      </c>
      <c r="E530" s="11" t="s">
        <v>2156</v>
      </c>
      <c r="F530" s="18" t="s">
        <v>926</v>
      </c>
      <c r="G530" s="3" t="s">
        <v>235</v>
      </c>
      <c r="H530" s="4" t="s">
        <v>421</v>
      </c>
      <c r="K530" s="8" t="s">
        <v>1109</v>
      </c>
      <c r="S530" t="s">
        <v>1460</v>
      </c>
      <c r="T530" s="11" t="s">
        <v>1461</v>
      </c>
      <c r="U530" s="11" t="s">
        <v>3646</v>
      </c>
      <c r="V530" s="11" t="s">
        <v>3548</v>
      </c>
      <c r="W530" s="54">
        <f>INDEX([1]ACOMPANHAMENTO!H:H,MATCH(A530,[1]ACOMPANHAMENTO!A:A,0))</f>
        <v>45962</v>
      </c>
      <c r="X530" s="11">
        <f t="shared" ca="1" si="8"/>
        <v>29</v>
      </c>
    </row>
    <row r="531" spans="1:24" x14ac:dyDescent="0.3">
      <c r="A531" s="5">
        <v>571</v>
      </c>
      <c r="B531" s="21">
        <v>236</v>
      </c>
      <c r="C531" s="3" t="s">
        <v>234</v>
      </c>
      <c r="D531" s="4" t="s">
        <v>278</v>
      </c>
      <c r="E531" s="11" t="s">
        <v>3315</v>
      </c>
      <c r="F531" s="18" t="s">
        <v>927</v>
      </c>
      <c r="G531" s="3" t="s">
        <v>233</v>
      </c>
      <c r="H531" s="4" t="s">
        <v>277</v>
      </c>
      <c r="K531" s="8" t="s">
        <v>1052</v>
      </c>
      <c r="S531" t="s">
        <v>1462</v>
      </c>
      <c r="T531" s="11" t="s">
        <v>1463</v>
      </c>
      <c r="U531" s="11" t="s">
        <v>927</v>
      </c>
      <c r="V531" s="11" t="s">
        <v>3368</v>
      </c>
      <c r="W531" s="54">
        <f>INDEX([1]ACOMPANHAMENTO!H:H,MATCH(A531,[1]ACOMPANHAMENTO!A:A,0))</f>
        <v>45962</v>
      </c>
      <c r="X531" s="11">
        <f t="shared" ca="1" si="8"/>
        <v>29</v>
      </c>
    </row>
    <row r="532" spans="1:24" x14ac:dyDescent="0.3">
      <c r="A532" s="5">
        <v>572</v>
      </c>
      <c r="B532" s="21">
        <v>201</v>
      </c>
      <c r="C532" s="3" t="s">
        <v>213</v>
      </c>
      <c r="D532" s="4" t="s">
        <v>408</v>
      </c>
      <c r="E532" s="11" t="s">
        <v>2156</v>
      </c>
      <c r="F532" s="18" t="s">
        <v>928</v>
      </c>
      <c r="G532" s="3" t="s">
        <v>212</v>
      </c>
      <c r="H532" s="4" t="s">
        <v>407</v>
      </c>
      <c r="K532" s="8" t="s">
        <v>1109</v>
      </c>
      <c r="S532" t="s">
        <v>1421</v>
      </c>
      <c r="T532" s="11" t="s">
        <v>1422</v>
      </c>
      <c r="U532" s="11" t="s">
        <v>3595</v>
      </c>
      <c r="V532" s="11" t="s">
        <v>3549</v>
      </c>
      <c r="W532" s="54">
        <f>INDEX([1]ACOMPANHAMENTO!H:H,MATCH(A532,[1]ACOMPANHAMENTO!A:A,0))</f>
        <v>45778</v>
      </c>
      <c r="X532" s="11">
        <f t="shared" ca="1" si="8"/>
        <v>-155</v>
      </c>
    </row>
    <row r="533" spans="1:24" x14ac:dyDescent="0.3">
      <c r="A533" s="5">
        <v>573</v>
      </c>
      <c r="B533" s="21">
        <v>212</v>
      </c>
      <c r="C533" s="3" t="s">
        <v>208</v>
      </c>
      <c r="D533" s="4" t="s">
        <v>404</v>
      </c>
      <c r="E533" s="11" t="s">
        <v>2156</v>
      </c>
      <c r="F533" s="18" t="s">
        <v>929</v>
      </c>
      <c r="G533" s="3" t="s">
        <v>207</v>
      </c>
      <c r="H533" s="4" t="s">
        <v>403</v>
      </c>
      <c r="K533" s="8" t="s">
        <v>1090</v>
      </c>
      <c r="S533" t="s">
        <v>1414</v>
      </c>
      <c r="T533" s="11" t="s">
        <v>1415</v>
      </c>
      <c r="U533" s="11" t="s">
        <v>3638</v>
      </c>
      <c r="V533" s="11" t="s">
        <v>2515</v>
      </c>
      <c r="W533" s="54">
        <f>INDEX([1]ACOMPANHAMENTO!H:H,MATCH(A533,[1]ACOMPANHAMENTO!A:A,0))</f>
        <v>45962</v>
      </c>
      <c r="X533" s="11">
        <f t="shared" ca="1" si="8"/>
        <v>29</v>
      </c>
    </row>
    <row r="534" spans="1:24" x14ac:dyDescent="0.3">
      <c r="A534" s="5">
        <v>574</v>
      </c>
      <c r="B534" s="21">
        <v>201</v>
      </c>
      <c r="C534" s="3" t="s">
        <v>213</v>
      </c>
      <c r="D534" s="4" t="s">
        <v>408</v>
      </c>
      <c r="E534" s="11" t="s">
        <v>2156</v>
      </c>
      <c r="F534" s="18" t="s">
        <v>930</v>
      </c>
      <c r="G534" s="3" t="s">
        <v>212</v>
      </c>
      <c r="H534" s="4" t="s">
        <v>407</v>
      </c>
      <c r="K534" s="8" t="s">
        <v>1109</v>
      </c>
      <c r="S534" t="s">
        <v>1421</v>
      </c>
      <c r="T534" s="11" t="s">
        <v>1422</v>
      </c>
      <c r="U534" s="11" t="s">
        <v>3595</v>
      </c>
      <c r="V534" s="11" t="s">
        <v>3550</v>
      </c>
      <c r="W534" s="54">
        <f>INDEX([1]ACOMPANHAMENTO!H:H,MATCH(A534,[1]ACOMPANHAMENTO!A:A,0))</f>
        <v>45778</v>
      </c>
      <c r="X534" s="11">
        <f t="shared" ca="1" si="8"/>
        <v>-155</v>
      </c>
    </row>
    <row r="535" spans="1:24" x14ac:dyDescent="0.3">
      <c r="A535" s="5">
        <v>575</v>
      </c>
      <c r="B535" s="21">
        <v>122</v>
      </c>
      <c r="C535" s="3" t="s">
        <v>149</v>
      </c>
      <c r="D535" s="4" t="s">
        <v>176</v>
      </c>
      <c r="E535" s="11" t="s">
        <v>2156</v>
      </c>
      <c r="F535" s="18" t="s">
        <v>931</v>
      </c>
      <c r="G535" s="3" t="s">
        <v>148</v>
      </c>
      <c r="H535" s="4" t="s">
        <v>375</v>
      </c>
      <c r="K535" s="8" t="s">
        <v>1052</v>
      </c>
      <c r="S535" t="s">
        <v>1319</v>
      </c>
      <c r="T535" s="11" t="s">
        <v>1320</v>
      </c>
      <c r="U535" s="11" t="s">
        <v>716</v>
      </c>
      <c r="V535" s="11" t="s">
        <v>3551</v>
      </c>
      <c r="W535" s="54">
        <f>INDEX([1]ACOMPANHAMENTO!H:H,MATCH(A535,[1]ACOMPANHAMENTO!A:A,0))</f>
        <v>45809</v>
      </c>
      <c r="X535" s="11">
        <f t="shared" ca="1" si="8"/>
        <v>-124</v>
      </c>
    </row>
    <row r="536" spans="1:24" x14ac:dyDescent="0.3">
      <c r="A536" s="5">
        <v>576</v>
      </c>
      <c r="B536" s="21">
        <v>237</v>
      </c>
      <c r="C536" s="3" t="s">
        <v>151</v>
      </c>
      <c r="D536" s="4" t="s">
        <v>377</v>
      </c>
      <c r="E536" s="11" t="s">
        <v>2156</v>
      </c>
      <c r="F536" s="18" t="s">
        <v>932</v>
      </c>
      <c r="G536" s="3" t="s">
        <v>235</v>
      </c>
      <c r="H536" s="4" t="s">
        <v>421</v>
      </c>
      <c r="K536" s="8" t="s">
        <v>1090</v>
      </c>
      <c r="S536" t="s">
        <v>1464</v>
      </c>
      <c r="T536" s="11" t="s">
        <v>1272</v>
      </c>
      <c r="U536" s="11" t="s">
        <v>3628</v>
      </c>
      <c r="V536" s="11" t="s">
        <v>3552</v>
      </c>
      <c r="W536" s="54">
        <f>INDEX([1]ACOMPANHAMENTO!H:H,MATCH(A536,[1]ACOMPANHAMENTO!A:A,0))</f>
        <v>45962</v>
      </c>
      <c r="X536" s="11">
        <f t="shared" ca="1" si="8"/>
        <v>29</v>
      </c>
    </row>
    <row r="537" spans="1:24" x14ac:dyDescent="0.3">
      <c r="A537" s="5">
        <v>577</v>
      </c>
      <c r="B537" s="21">
        <v>148</v>
      </c>
      <c r="C537" s="3" t="s">
        <v>193</v>
      </c>
      <c r="D537" s="4" t="s">
        <v>396</v>
      </c>
      <c r="E537" s="11" t="s">
        <v>2156</v>
      </c>
      <c r="F537" s="18" t="s">
        <v>933</v>
      </c>
      <c r="G537" s="3" t="s">
        <v>192</v>
      </c>
      <c r="H537" s="4" t="s">
        <v>395</v>
      </c>
      <c r="K537" s="8" t="s">
        <v>1090</v>
      </c>
      <c r="S537" t="s">
        <v>1376</v>
      </c>
      <c r="T537" s="11" t="s">
        <v>1496</v>
      </c>
      <c r="U537" s="11" t="s">
        <v>667</v>
      </c>
      <c r="V537" s="11" t="s">
        <v>2477</v>
      </c>
      <c r="W537" s="54">
        <f>INDEX([1]ACOMPANHAMENTO!H:H,MATCH(A537,[1]ACOMPANHAMENTO!A:A,0))</f>
        <v>45809</v>
      </c>
      <c r="X537" s="11">
        <f t="shared" ca="1" si="8"/>
        <v>-124</v>
      </c>
    </row>
    <row r="538" spans="1:24" x14ac:dyDescent="0.3">
      <c r="A538" s="5">
        <v>578</v>
      </c>
      <c r="B538" s="21">
        <v>217</v>
      </c>
      <c r="C538" s="3" t="s">
        <v>223</v>
      </c>
      <c r="D538" s="4" t="s">
        <v>273</v>
      </c>
      <c r="E538" s="11" t="s">
        <v>1510</v>
      </c>
      <c r="F538" s="18" t="s">
        <v>934</v>
      </c>
      <c r="G538" s="3" t="s">
        <v>222</v>
      </c>
      <c r="H538" s="4" t="s">
        <v>272</v>
      </c>
      <c r="K538" s="8" t="s">
        <v>1110</v>
      </c>
      <c r="S538" t="s">
        <v>1433</v>
      </c>
      <c r="T538" s="11" t="s">
        <v>1434</v>
      </c>
      <c r="U538" s="11" t="s">
        <v>3642</v>
      </c>
      <c r="V538" s="11" t="s">
        <v>1976</v>
      </c>
      <c r="W538" s="54">
        <f>INDEX([1]ACOMPANHAMENTO!H:H,MATCH(A538,[1]ACOMPANHAMENTO!A:A,0))</f>
        <v>45901</v>
      </c>
      <c r="X538" s="11">
        <f t="shared" ca="1" si="8"/>
        <v>-32</v>
      </c>
    </row>
    <row r="539" spans="1:24" x14ac:dyDescent="0.3">
      <c r="A539" s="5">
        <v>579</v>
      </c>
      <c r="B539" s="21">
        <v>207</v>
      </c>
      <c r="C539" s="5" t="s">
        <v>204</v>
      </c>
      <c r="D539" s="11" t="s">
        <v>400</v>
      </c>
      <c r="E539" s="11" t="s">
        <v>3315</v>
      </c>
      <c r="F539" s="18" t="s">
        <v>963</v>
      </c>
      <c r="G539" s="3" t="s">
        <v>205</v>
      </c>
      <c r="H539" s="4" t="s">
        <v>401</v>
      </c>
      <c r="K539" s="8" t="s">
        <v>1067</v>
      </c>
      <c r="S539" t="s">
        <v>1402</v>
      </c>
      <c r="T539" s="11" t="s">
        <v>1403</v>
      </c>
      <c r="U539" s="11" t="s">
        <v>3593</v>
      </c>
      <c r="V539" s="11" t="s">
        <v>3553</v>
      </c>
      <c r="W539" s="54">
        <f>INDEX([1]ACOMPANHAMENTO!H:H,MATCH(A539,[1]ACOMPANHAMENTO!A:A,0))</f>
        <v>45962</v>
      </c>
      <c r="X539" s="11">
        <f t="shared" ca="1" si="8"/>
        <v>29</v>
      </c>
    </row>
    <row r="540" spans="1:24" x14ac:dyDescent="0.3">
      <c r="A540" s="5">
        <v>580</v>
      </c>
      <c r="B540" s="21">
        <v>56</v>
      </c>
      <c r="C540" s="3" t="s">
        <v>84</v>
      </c>
      <c r="D540" s="4" t="s">
        <v>344</v>
      </c>
      <c r="E540" s="11" t="s">
        <v>2827</v>
      </c>
      <c r="F540" s="18" t="s">
        <v>964</v>
      </c>
      <c r="G540" s="3" t="s">
        <v>86</v>
      </c>
      <c r="H540" s="4" t="s">
        <v>346</v>
      </c>
      <c r="K540" s="8" t="s">
        <v>1074</v>
      </c>
      <c r="L540" s="32">
        <v>0.03</v>
      </c>
      <c r="S540" t="s">
        <v>1226</v>
      </c>
      <c r="T540" s="11" t="s">
        <v>1227</v>
      </c>
      <c r="U540" s="11" t="s">
        <v>794</v>
      </c>
      <c r="V540" s="11" t="s">
        <v>2911</v>
      </c>
      <c r="W540" s="54">
        <f>INDEX([1]ACOMPANHAMENTO!H:H,MATCH(A540,[1]ACOMPANHAMENTO!A:A,0))</f>
        <v>45717</v>
      </c>
      <c r="X540" s="11">
        <f t="shared" ca="1" si="8"/>
        <v>-216</v>
      </c>
    </row>
    <row r="541" spans="1:24" x14ac:dyDescent="0.3">
      <c r="A541" s="5">
        <v>581</v>
      </c>
      <c r="B541" s="21">
        <v>30</v>
      </c>
      <c r="C541" s="3" t="s">
        <v>35</v>
      </c>
      <c r="D541" s="4" t="s">
        <v>311</v>
      </c>
      <c r="E541" s="11" t="s">
        <v>2548</v>
      </c>
      <c r="F541" s="18" t="s">
        <v>965</v>
      </c>
      <c r="G541" s="3" t="s">
        <v>33</v>
      </c>
      <c r="H541" s="4" t="s">
        <v>34</v>
      </c>
      <c r="K541" s="8" t="s">
        <v>1060</v>
      </c>
      <c r="S541" t="s">
        <v>1173</v>
      </c>
      <c r="T541" s="11" t="s">
        <v>1485</v>
      </c>
      <c r="U541" s="11" t="s">
        <v>560</v>
      </c>
      <c r="V541" s="11" t="s">
        <v>2667</v>
      </c>
      <c r="W541" s="54">
        <f>INDEX([1]ACOMPANHAMENTO!H:H,MATCH(A541,[1]ACOMPANHAMENTO!A:A,0))</f>
        <v>45962</v>
      </c>
      <c r="X541" s="11">
        <f t="shared" ca="1" si="8"/>
        <v>29</v>
      </c>
    </row>
    <row r="542" spans="1:24" x14ac:dyDescent="0.3">
      <c r="A542" s="5">
        <v>582</v>
      </c>
      <c r="B542" s="21">
        <v>177</v>
      </c>
      <c r="C542" s="3" t="s">
        <v>190</v>
      </c>
      <c r="D542" s="4" t="s">
        <v>264</v>
      </c>
      <c r="E542" s="11" t="s">
        <v>2156</v>
      </c>
      <c r="F542" s="18" t="s">
        <v>966</v>
      </c>
      <c r="G542" s="3" t="s">
        <v>191</v>
      </c>
      <c r="H542" s="4" t="s">
        <v>1040</v>
      </c>
      <c r="K542" s="8" t="s">
        <v>1052</v>
      </c>
      <c r="S542" t="s">
        <v>1369</v>
      </c>
      <c r="T542" s="11" t="s">
        <v>1368</v>
      </c>
      <c r="U542" s="11" t="s">
        <v>3633</v>
      </c>
      <c r="V542" s="11" t="s">
        <v>2333</v>
      </c>
      <c r="W542" s="54">
        <f>INDEX([1]ACOMPANHAMENTO!H:H,MATCH(A542,[1]ACOMPANHAMENTO!A:A,0))</f>
        <v>45809</v>
      </c>
      <c r="X542" s="11">
        <f t="shared" ca="1" si="8"/>
        <v>-124</v>
      </c>
    </row>
    <row r="543" spans="1:24" x14ac:dyDescent="0.3">
      <c r="A543" s="5">
        <v>583</v>
      </c>
      <c r="B543" s="21">
        <v>238</v>
      </c>
      <c r="C543" s="3" t="s">
        <v>242</v>
      </c>
      <c r="D543" s="4" t="s">
        <v>283</v>
      </c>
      <c r="E543" s="4" t="s">
        <v>1510</v>
      </c>
      <c r="F543" s="18" t="s">
        <v>967</v>
      </c>
      <c r="G543" s="3" t="s">
        <v>228</v>
      </c>
      <c r="H543" s="4" t="s">
        <v>528</v>
      </c>
      <c r="K543" s="7" t="s">
        <v>1116</v>
      </c>
      <c r="L543" s="34"/>
      <c r="M543" s="37"/>
      <c r="N543" s="34"/>
      <c r="O543" s="34"/>
      <c r="P543" s="34"/>
      <c r="Q543" s="34"/>
      <c r="R543" s="4"/>
      <c r="S543" t="s">
        <v>1465</v>
      </c>
      <c r="T543" s="4" t="s">
        <v>1466</v>
      </c>
      <c r="U543" s="4" t="s">
        <v>3650</v>
      </c>
      <c r="V543" s="4" t="s">
        <v>2128</v>
      </c>
      <c r="W543" s="54">
        <f>INDEX([1]ACOMPANHAMENTO!H:H,MATCH(A543,[1]ACOMPANHAMENTO!A:A,0))</f>
        <v>45901</v>
      </c>
      <c r="X543" s="11">
        <f t="shared" ca="1" si="8"/>
        <v>-32</v>
      </c>
    </row>
    <row r="544" spans="1:24" x14ac:dyDescent="0.3">
      <c r="A544" s="5">
        <v>584</v>
      </c>
      <c r="B544" s="21">
        <v>224</v>
      </c>
      <c r="C544" s="3" t="s">
        <v>6</v>
      </c>
      <c r="D544" s="4" t="s">
        <v>430</v>
      </c>
      <c r="E544" s="11" t="s">
        <v>2827</v>
      </c>
      <c r="F544" s="18" t="s">
        <v>968</v>
      </c>
      <c r="G544" s="3" t="s">
        <v>3</v>
      </c>
      <c r="H544" s="4" t="s">
        <v>7</v>
      </c>
      <c r="K544" s="8" t="s">
        <v>1059</v>
      </c>
      <c r="S544" t="s">
        <v>1450</v>
      </c>
      <c r="T544" s="11" t="s">
        <v>1449</v>
      </c>
      <c r="U544" s="11" t="s">
        <v>695</v>
      </c>
      <c r="V544" s="11" t="s">
        <v>2999</v>
      </c>
      <c r="W544" s="54">
        <f>INDEX([1]ACOMPANHAMENTO!H:H,MATCH(A544,[1]ACOMPANHAMENTO!A:A,0))</f>
        <v>45717</v>
      </c>
      <c r="X544" s="11">
        <f t="shared" ca="1" si="8"/>
        <v>-216</v>
      </c>
    </row>
    <row r="545" spans="1:118" x14ac:dyDescent="0.3">
      <c r="A545" s="5">
        <v>585</v>
      </c>
      <c r="B545" s="21">
        <v>238</v>
      </c>
      <c r="C545" s="3" t="s">
        <v>242</v>
      </c>
      <c r="D545" s="4" t="s">
        <v>283</v>
      </c>
      <c r="E545" s="4" t="s">
        <v>1510</v>
      </c>
      <c r="F545" s="18" t="s">
        <v>935</v>
      </c>
      <c r="G545" s="3" t="s">
        <v>228</v>
      </c>
      <c r="H545" s="4" t="s">
        <v>528</v>
      </c>
      <c r="K545" s="7" t="s">
        <v>1116</v>
      </c>
      <c r="L545" s="34"/>
      <c r="M545" s="37"/>
      <c r="N545" s="34"/>
      <c r="O545" s="34"/>
      <c r="P545" s="34"/>
      <c r="Q545" s="34"/>
      <c r="R545" s="4"/>
      <c r="S545" t="s">
        <v>1465</v>
      </c>
      <c r="T545" s="4" t="s">
        <v>1466</v>
      </c>
      <c r="U545" s="4" t="s">
        <v>3650</v>
      </c>
      <c r="V545" s="4" t="s">
        <v>1909</v>
      </c>
      <c r="W545" s="54">
        <f>INDEX([1]ACOMPANHAMENTO!H:H,MATCH(A545,[1]ACOMPANHAMENTO!A:A,0))</f>
        <v>45901</v>
      </c>
      <c r="X545" s="11">
        <f t="shared" ca="1" si="8"/>
        <v>-32</v>
      </c>
    </row>
    <row r="546" spans="1:118" x14ac:dyDescent="0.3">
      <c r="A546" s="5">
        <v>586</v>
      </c>
      <c r="B546" s="21">
        <v>196</v>
      </c>
      <c r="C546" s="3" t="s">
        <v>491</v>
      </c>
      <c r="D546" s="4" t="s">
        <v>490</v>
      </c>
      <c r="E546" s="11" t="s">
        <v>2156</v>
      </c>
      <c r="F546" s="18" t="s">
        <v>969</v>
      </c>
      <c r="G546" s="3" t="s">
        <v>489</v>
      </c>
      <c r="H546" s="4" t="s">
        <v>488</v>
      </c>
      <c r="K546" s="8" t="s">
        <v>1090</v>
      </c>
      <c r="S546" t="s">
        <v>1410</v>
      </c>
      <c r="T546" s="11" t="s">
        <v>1411</v>
      </c>
      <c r="U546" s="11" t="s">
        <v>3658</v>
      </c>
      <c r="V546" s="11" t="s">
        <v>3554</v>
      </c>
      <c r="W546" s="54">
        <f>INDEX([1]ACOMPANHAMENTO!H:H,MATCH(A546,[1]ACOMPANHAMENTO!A:A,0))</f>
        <v>45809</v>
      </c>
      <c r="X546" s="11">
        <f t="shared" ca="1" si="8"/>
        <v>-124</v>
      </c>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row>
    <row r="547" spans="1:118" x14ac:dyDescent="0.3">
      <c r="A547" s="5">
        <v>587</v>
      </c>
      <c r="B547" s="21">
        <v>184</v>
      </c>
      <c r="C547" s="3" t="s">
        <v>201</v>
      </c>
      <c r="D547" s="4" t="s">
        <v>268</v>
      </c>
      <c r="E547" s="11" t="s">
        <v>2156</v>
      </c>
      <c r="F547" s="18" t="s">
        <v>970</v>
      </c>
      <c r="G547" s="3" t="s">
        <v>200</v>
      </c>
      <c r="H547" s="4" t="s">
        <v>267</v>
      </c>
      <c r="K547" s="8" t="s">
        <v>1052</v>
      </c>
      <c r="S547" t="s">
        <v>1394</v>
      </c>
      <c r="T547" s="11" t="s">
        <v>1394</v>
      </c>
      <c r="U547" s="11" t="s">
        <v>3636</v>
      </c>
      <c r="V547" s="11" t="s">
        <v>2274</v>
      </c>
      <c r="W547" s="54">
        <f>INDEX([1]ACOMPANHAMENTO!H:H,MATCH(A547,[1]ACOMPANHAMENTO!A:A,0))</f>
        <v>45809</v>
      </c>
      <c r="X547" s="11">
        <f t="shared" ca="1" si="8"/>
        <v>-124</v>
      </c>
    </row>
    <row r="548" spans="1:118" x14ac:dyDescent="0.3">
      <c r="A548" s="5">
        <v>588</v>
      </c>
      <c r="B548" s="21">
        <v>209</v>
      </c>
      <c r="C548" s="3" t="s">
        <v>219</v>
      </c>
      <c r="D548" s="4" t="s">
        <v>413</v>
      </c>
      <c r="E548" s="11" t="s">
        <v>2156</v>
      </c>
      <c r="F548" s="18" t="s">
        <v>971</v>
      </c>
      <c r="G548" s="3" t="s">
        <v>218</v>
      </c>
      <c r="H548" s="4" t="s">
        <v>412</v>
      </c>
      <c r="K548" s="8" t="s">
        <v>1090</v>
      </c>
      <c r="S548" t="s">
        <v>1429</v>
      </c>
      <c r="T548" s="11" t="s">
        <v>1430</v>
      </c>
      <c r="U548" s="11" t="s">
        <v>3597</v>
      </c>
      <c r="V548" s="11" t="s">
        <v>3555</v>
      </c>
      <c r="W548" s="54">
        <f>INDEX([1]ACOMPANHAMENTO!H:H,MATCH(A548,[1]ACOMPANHAMENTO!A:A,0))</f>
        <v>46174</v>
      </c>
      <c r="X548" s="11">
        <f t="shared" ca="1" si="8"/>
        <v>241</v>
      </c>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row>
    <row r="549" spans="1:118" x14ac:dyDescent="0.3">
      <c r="A549" s="5">
        <v>589</v>
      </c>
      <c r="B549" s="21">
        <v>192</v>
      </c>
      <c r="C549" s="3" t="s">
        <v>246</v>
      </c>
      <c r="D549" s="4" t="s">
        <v>486</v>
      </c>
      <c r="E549" s="11" t="s">
        <v>2156</v>
      </c>
      <c r="F549" s="18" t="s">
        <v>972</v>
      </c>
      <c r="G549" s="3" t="s">
        <v>484</v>
      </c>
      <c r="H549" s="4" t="s">
        <v>485</v>
      </c>
      <c r="K549" s="8" t="s">
        <v>1106</v>
      </c>
      <c r="S549" t="s">
        <v>1408</v>
      </c>
      <c r="T549" s="11" t="s">
        <v>1407</v>
      </c>
      <c r="U549" s="11" t="s">
        <v>3657</v>
      </c>
      <c r="V549" s="11" t="s">
        <v>2471</v>
      </c>
      <c r="W549" s="54">
        <f>INDEX([1]ACOMPANHAMENTO!H:H,MATCH(A549,[1]ACOMPANHAMENTO!A:A,0))</f>
        <v>45809</v>
      </c>
      <c r="X549" s="11">
        <f t="shared" ca="1" si="8"/>
        <v>-124</v>
      </c>
    </row>
    <row r="550" spans="1:118" x14ac:dyDescent="0.3">
      <c r="A550" s="5">
        <v>590</v>
      </c>
      <c r="B550" s="21">
        <v>222</v>
      </c>
      <c r="C550" s="3" t="s">
        <v>517</v>
      </c>
      <c r="D550" s="4" t="s">
        <v>518</v>
      </c>
      <c r="E550" s="11" t="s">
        <v>2156</v>
      </c>
      <c r="F550" s="18" t="s">
        <v>973</v>
      </c>
      <c r="G550" s="3" t="s">
        <v>249</v>
      </c>
      <c r="H550" s="4" t="s">
        <v>426</v>
      </c>
      <c r="K550" s="8" t="s">
        <v>1090</v>
      </c>
      <c r="S550" t="s">
        <v>1468</v>
      </c>
      <c r="T550" s="11" t="s">
        <v>1467</v>
      </c>
      <c r="U550" s="11" t="s">
        <v>3603</v>
      </c>
      <c r="V550" s="11" t="s">
        <v>3556</v>
      </c>
      <c r="W550" s="54">
        <f>INDEX([1]ACOMPANHAMENTO!H:H,MATCH(A550,[1]ACOMPANHAMENTO!A:A,0))</f>
        <v>45839</v>
      </c>
      <c r="X550" s="11">
        <f t="shared" ca="1" si="8"/>
        <v>-94</v>
      </c>
    </row>
    <row r="551" spans="1:118" x14ac:dyDescent="0.3">
      <c r="A551" s="5">
        <v>591</v>
      </c>
      <c r="B551" s="21">
        <v>208</v>
      </c>
      <c r="C551" s="3" t="s">
        <v>217</v>
      </c>
      <c r="D551" s="4" t="s">
        <v>271</v>
      </c>
      <c r="E551" s="11" t="s">
        <v>2156</v>
      </c>
      <c r="F551" s="18" t="s">
        <v>974</v>
      </c>
      <c r="G551" s="3" t="s">
        <v>216</v>
      </c>
      <c r="H551" s="4" t="s">
        <v>411</v>
      </c>
      <c r="K551" s="8" t="s">
        <v>1107</v>
      </c>
      <c r="S551" t="s">
        <v>1427</v>
      </c>
      <c r="T551" s="11" t="s">
        <v>1428</v>
      </c>
      <c r="U551" s="11" t="s">
        <v>3641</v>
      </c>
      <c r="V551" s="11" t="s">
        <v>3557</v>
      </c>
      <c r="W551" s="54">
        <f>INDEX([1]ACOMPANHAMENTO!H:H,MATCH(A551,[1]ACOMPANHAMENTO!A:A,0))</f>
        <v>45809</v>
      </c>
      <c r="X551" s="11">
        <f t="shared" ca="1" si="8"/>
        <v>-124</v>
      </c>
    </row>
    <row r="552" spans="1:118" x14ac:dyDescent="0.3">
      <c r="A552" s="5">
        <v>592</v>
      </c>
      <c r="B552" s="21">
        <v>195</v>
      </c>
      <c r="C552" s="3" t="s">
        <v>151</v>
      </c>
      <c r="D552" s="4" t="s">
        <v>377</v>
      </c>
      <c r="E552" s="11" t="s">
        <v>2156</v>
      </c>
      <c r="F552" s="18" t="s">
        <v>975</v>
      </c>
      <c r="G552" s="3" t="s">
        <v>206</v>
      </c>
      <c r="H552" s="4" t="s">
        <v>402</v>
      </c>
      <c r="K552" s="8" t="s">
        <v>1090</v>
      </c>
      <c r="S552" t="s">
        <v>1409</v>
      </c>
      <c r="T552" s="11" t="s">
        <v>1272</v>
      </c>
      <c r="U552" s="11" t="s">
        <v>3628</v>
      </c>
      <c r="V552" s="11" t="s">
        <v>3558</v>
      </c>
      <c r="W552" s="54">
        <f>INDEX([1]ACOMPANHAMENTO!H:H,MATCH(A552,[1]ACOMPANHAMENTO!A:A,0))</f>
        <v>45809</v>
      </c>
      <c r="X552" s="11">
        <f t="shared" ca="1" si="8"/>
        <v>-124</v>
      </c>
    </row>
    <row r="553" spans="1:118" x14ac:dyDescent="0.3">
      <c r="A553" s="5">
        <v>593</v>
      </c>
      <c r="B553" s="21">
        <v>239</v>
      </c>
      <c r="C553" s="3" t="s">
        <v>520</v>
      </c>
      <c r="D553" s="4" t="s">
        <v>519</v>
      </c>
      <c r="E553" s="11" t="s">
        <v>1510</v>
      </c>
      <c r="F553" s="18" t="s">
        <v>976</v>
      </c>
      <c r="G553" s="3" t="s">
        <v>237</v>
      </c>
      <c r="H553" s="4" t="s">
        <v>280</v>
      </c>
      <c r="K553" s="8" t="s">
        <v>1117</v>
      </c>
      <c r="S553" t="s">
        <v>1470</v>
      </c>
      <c r="T553" s="11" t="s">
        <v>1469</v>
      </c>
      <c r="U553" s="11" t="s">
        <v>3663</v>
      </c>
      <c r="V553" s="11" t="s">
        <v>1701</v>
      </c>
      <c r="W553" s="54">
        <f>INDEX([1]ACOMPANHAMENTO!H:H,MATCH(A553,[1]ACOMPANHAMENTO!A:A,0))</f>
        <v>45901</v>
      </c>
      <c r="X553" s="11">
        <f t="shared" ca="1" si="8"/>
        <v>-32</v>
      </c>
    </row>
    <row r="554" spans="1:118" x14ac:dyDescent="0.3">
      <c r="A554" s="5">
        <v>594</v>
      </c>
      <c r="B554" s="21">
        <v>177</v>
      </c>
      <c r="C554" s="3" t="s">
        <v>190</v>
      </c>
      <c r="D554" s="4" t="s">
        <v>264</v>
      </c>
      <c r="E554" s="11" t="s">
        <v>2156</v>
      </c>
      <c r="F554" s="18" t="s">
        <v>977</v>
      </c>
      <c r="G554" s="3" t="s">
        <v>191</v>
      </c>
      <c r="H554" s="4" t="s">
        <v>1040</v>
      </c>
      <c r="K554" s="8" t="s">
        <v>1052</v>
      </c>
      <c r="S554" t="s">
        <v>1369</v>
      </c>
      <c r="T554" s="11" t="s">
        <v>1368</v>
      </c>
      <c r="U554" s="11" t="s">
        <v>3633</v>
      </c>
      <c r="V554" s="11" t="s">
        <v>3559</v>
      </c>
      <c r="W554" s="54">
        <f>INDEX([1]ACOMPANHAMENTO!H:H,MATCH(A554,[1]ACOMPANHAMENTO!A:A,0))</f>
        <v>45809</v>
      </c>
      <c r="X554" s="11">
        <f t="shared" ca="1" si="8"/>
        <v>-124</v>
      </c>
    </row>
    <row r="555" spans="1:118" x14ac:dyDescent="0.3">
      <c r="A555" s="5">
        <v>595</v>
      </c>
      <c r="B555" s="21">
        <v>191</v>
      </c>
      <c r="C555" s="3" t="s">
        <v>500</v>
      </c>
      <c r="D555" s="4" t="s">
        <v>501</v>
      </c>
      <c r="E555" s="11" t="s">
        <v>2156</v>
      </c>
      <c r="F555" s="18" t="s">
        <v>978</v>
      </c>
      <c r="G555" s="3" t="s">
        <v>200</v>
      </c>
      <c r="H555" s="4" t="s">
        <v>267</v>
      </c>
      <c r="K555" s="8" t="s">
        <v>1090</v>
      </c>
      <c r="S555" t="s">
        <v>1405</v>
      </c>
      <c r="T555" s="11" t="s">
        <v>1406</v>
      </c>
      <c r="U555" s="11" t="s">
        <v>3670</v>
      </c>
      <c r="V555" s="11" t="s">
        <v>3560</v>
      </c>
      <c r="W555" s="54">
        <f>INDEX([1]ACOMPANHAMENTO!H:H,MATCH(A555,[1]ACOMPANHAMENTO!A:A,0))</f>
        <v>45809</v>
      </c>
      <c r="X555" s="11">
        <f t="shared" ca="1" si="8"/>
        <v>-124</v>
      </c>
    </row>
    <row r="556" spans="1:118" x14ac:dyDescent="0.3">
      <c r="A556" s="5">
        <v>596</v>
      </c>
      <c r="B556" s="21">
        <v>127</v>
      </c>
      <c r="C556" s="3" t="s">
        <v>159</v>
      </c>
      <c r="D556" s="4" t="s">
        <v>160</v>
      </c>
      <c r="E556" s="11" t="s">
        <v>2156</v>
      </c>
      <c r="F556" s="18" t="s">
        <v>979</v>
      </c>
      <c r="G556" s="3" t="s">
        <v>158</v>
      </c>
      <c r="H556" s="4" t="s">
        <v>380</v>
      </c>
      <c r="K556" s="8" t="s">
        <v>1090</v>
      </c>
      <c r="S556" t="s">
        <v>1326</v>
      </c>
      <c r="T556" s="11" t="s">
        <v>1320</v>
      </c>
      <c r="U556" s="11" t="s">
        <v>819</v>
      </c>
      <c r="V556" s="11" t="s">
        <v>2392</v>
      </c>
      <c r="W556" s="54">
        <f>INDEX([1]ACOMPANHAMENTO!H:H,MATCH(A556,[1]ACOMPANHAMENTO!A:A,0))</f>
        <v>45809</v>
      </c>
      <c r="X556" s="11">
        <f t="shared" ca="1" si="8"/>
        <v>-124</v>
      </c>
    </row>
    <row r="557" spans="1:118" x14ac:dyDescent="0.3">
      <c r="A557" s="5">
        <v>597</v>
      </c>
      <c r="B557" s="21">
        <v>113</v>
      </c>
      <c r="C557" s="3" t="s">
        <v>139</v>
      </c>
      <c r="D557" s="4" t="s">
        <v>140</v>
      </c>
      <c r="E557" s="11" t="s">
        <v>2548</v>
      </c>
      <c r="F557" s="18" t="s">
        <v>937</v>
      </c>
      <c r="G557" s="3" t="s">
        <v>138</v>
      </c>
      <c r="H557" s="4" t="s">
        <v>369</v>
      </c>
      <c r="K557" s="8" t="s">
        <v>1085</v>
      </c>
      <c r="S557" t="s">
        <v>1306</v>
      </c>
      <c r="T557" s="11" t="s">
        <v>1305</v>
      </c>
      <c r="U557" s="11" t="s">
        <v>3623</v>
      </c>
      <c r="V557" s="11" t="s">
        <v>2625</v>
      </c>
      <c r="W557" s="54">
        <f>INDEX([1]ACOMPANHAMENTO!H:H,MATCH(A557,[1]ACOMPANHAMENTO!A:A,0))</f>
        <v>45778</v>
      </c>
      <c r="X557" s="11">
        <f t="shared" ca="1" si="8"/>
        <v>-155</v>
      </c>
    </row>
    <row r="558" spans="1:118" x14ac:dyDescent="0.3">
      <c r="A558" s="5">
        <v>598</v>
      </c>
      <c r="B558" s="21">
        <v>212</v>
      </c>
      <c r="C558" s="3" t="s">
        <v>208</v>
      </c>
      <c r="D558" s="4" t="s">
        <v>404</v>
      </c>
      <c r="E558" s="11" t="s">
        <v>2156</v>
      </c>
      <c r="F558" s="18" t="s">
        <v>980</v>
      </c>
      <c r="G558" s="3" t="s">
        <v>207</v>
      </c>
      <c r="H558" s="4" t="s">
        <v>403</v>
      </c>
      <c r="K558" s="8" t="s">
        <v>1090</v>
      </c>
      <c r="S558" t="s">
        <v>1414</v>
      </c>
      <c r="T558" s="11" t="s">
        <v>1415</v>
      </c>
      <c r="U558" s="11" t="s">
        <v>3638</v>
      </c>
      <c r="V558" s="11" t="s">
        <v>3395</v>
      </c>
      <c r="W558" s="54">
        <f>INDEX([1]ACOMPANHAMENTO!H:H,MATCH(A558,[1]ACOMPANHAMENTO!A:A,0))</f>
        <v>45962</v>
      </c>
      <c r="X558" s="11">
        <f t="shared" ca="1" si="8"/>
        <v>29</v>
      </c>
    </row>
    <row r="559" spans="1:118" x14ac:dyDescent="0.3">
      <c r="A559" s="5">
        <v>599</v>
      </c>
      <c r="B559" s="21">
        <v>211</v>
      </c>
      <c r="C559" s="3" t="s">
        <v>210</v>
      </c>
      <c r="D559" s="4" t="s">
        <v>270</v>
      </c>
      <c r="E559" s="11" t="s">
        <v>2548</v>
      </c>
      <c r="F559" s="18" t="s">
        <v>981</v>
      </c>
      <c r="G559" s="3" t="s">
        <v>165</v>
      </c>
      <c r="H559" s="4" t="s">
        <v>381</v>
      </c>
      <c r="K559" s="7" t="s">
        <v>1104</v>
      </c>
      <c r="S559" t="s">
        <v>1418</v>
      </c>
      <c r="T559" s="11" t="s">
        <v>1419</v>
      </c>
      <c r="U559" s="11" t="s">
        <v>3640</v>
      </c>
      <c r="V559" s="11" t="s">
        <v>2655</v>
      </c>
      <c r="W559" s="54">
        <f>INDEX([1]ACOMPANHAMENTO!H:H,MATCH(A559,[1]ACOMPANHAMENTO!A:A,0))</f>
        <v>45778</v>
      </c>
      <c r="X559" s="11">
        <f t="shared" ca="1" si="8"/>
        <v>-155</v>
      </c>
    </row>
    <row r="560" spans="1:118" x14ac:dyDescent="0.3">
      <c r="A560" s="5">
        <v>600</v>
      </c>
      <c r="B560" s="21">
        <v>177</v>
      </c>
      <c r="C560" s="3" t="s">
        <v>190</v>
      </c>
      <c r="D560" s="4" t="s">
        <v>264</v>
      </c>
      <c r="E560" s="11" t="s">
        <v>2156</v>
      </c>
      <c r="F560" s="18" t="s">
        <v>982</v>
      </c>
      <c r="G560" s="3" t="s">
        <v>191</v>
      </c>
      <c r="H560" s="4" t="s">
        <v>1040</v>
      </c>
      <c r="K560" s="8" t="s">
        <v>1052</v>
      </c>
      <c r="S560" t="s">
        <v>1369</v>
      </c>
      <c r="T560" s="11" t="s">
        <v>1368</v>
      </c>
      <c r="U560" s="11" t="s">
        <v>3633</v>
      </c>
      <c r="V560" s="11" t="s">
        <v>2412</v>
      </c>
      <c r="W560" s="54">
        <f>INDEX([1]ACOMPANHAMENTO!H:H,MATCH(A560,[1]ACOMPANHAMENTO!A:A,0))</f>
        <v>45809</v>
      </c>
      <c r="X560" s="11">
        <f t="shared" ca="1" si="8"/>
        <v>-124</v>
      </c>
    </row>
    <row r="561" spans="1:24" x14ac:dyDescent="0.3">
      <c r="A561" s="5">
        <v>601</v>
      </c>
      <c r="B561" s="21">
        <v>201</v>
      </c>
      <c r="C561" s="3" t="s">
        <v>213</v>
      </c>
      <c r="D561" s="4" t="s">
        <v>408</v>
      </c>
      <c r="E561" s="11" t="s">
        <v>2156</v>
      </c>
      <c r="F561" s="18" t="s">
        <v>983</v>
      </c>
      <c r="G561" s="3" t="s">
        <v>212</v>
      </c>
      <c r="H561" s="4" t="s">
        <v>407</v>
      </c>
      <c r="K561" s="8" t="s">
        <v>1109</v>
      </c>
      <c r="S561" t="s">
        <v>1421</v>
      </c>
      <c r="T561" s="11" t="s">
        <v>1422</v>
      </c>
      <c r="U561" s="11" t="s">
        <v>3595</v>
      </c>
      <c r="V561" s="11" t="s">
        <v>2435</v>
      </c>
      <c r="W561" s="54">
        <f>INDEX([1]ACOMPANHAMENTO!H:H,MATCH(A561,[1]ACOMPANHAMENTO!A:A,0))</f>
        <v>45778</v>
      </c>
      <c r="X561" s="11">
        <f t="shared" ca="1" si="8"/>
        <v>-155</v>
      </c>
    </row>
    <row r="562" spans="1:24" x14ac:dyDescent="0.3">
      <c r="A562" s="5">
        <v>602</v>
      </c>
      <c r="B562" s="21">
        <v>241</v>
      </c>
      <c r="C562" s="3" t="s">
        <v>79</v>
      </c>
      <c r="D562" s="4" t="s">
        <v>341</v>
      </c>
      <c r="E562" s="11" t="s">
        <v>2827</v>
      </c>
      <c r="F562" s="18" t="s">
        <v>984</v>
      </c>
      <c r="G562" s="3" t="s">
        <v>179</v>
      </c>
      <c r="H562" s="4" t="s">
        <v>258</v>
      </c>
      <c r="K562" s="8" t="s">
        <v>1052</v>
      </c>
      <c r="M562" s="35">
        <v>0.03</v>
      </c>
      <c r="S562" t="s">
        <v>1471</v>
      </c>
      <c r="T562" s="11" t="s">
        <v>1472</v>
      </c>
      <c r="U562" s="11" t="s">
        <v>579</v>
      </c>
      <c r="V562" s="11" t="s">
        <v>3561</v>
      </c>
      <c r="W562" s="54">
        <f>INDEX([1]ACOMPANHAMENTO!H:H,MATCH(A562,[1]ACOMPANHAMENTO!A:A,0))</f>
        <v>45352</v>
      </c>
      <c r="X562" s="11">
        <f t="shared" ca="1" si="8"/>
        <v>-581</v>
      </c>
    </row>
    <row r="563" spans="1:24" x14ac:dyDescent="0.3">
      <c r="A563" s="5">
        <v>603</v>
      </c>
      <c r="B563" s="21">
        <v>177</v>
      </c>
      <c r="C563" s="3" t="s">
        <v>190</v>
      </c>
      <c r="D563" s="4" t="s">
        <v>264</v>
      </c>
      <c r="E563" s="11" t="s">
        <v>2156</v>
      </c>
      <c r="F563" s="18" t="s">
        <v>985</v>
      </c>
      <c r="G563" s="3" t="s">
        <v>191</v>
      </c>
      <c r="H563" s="4" t="s">
        <v>1040</v>
      </c>
      <c r="K563" s="8" t="s">
        <v>1052</v>
      </c>
      <c r="S563" t="s">
        <v>1369</v>
      </c>
      <c r="T563" s="11" t="s">
        <v>1368</v>
      </c>
      <c r="U563" s="11" t="s">
        <v>3633</v>
      </c>
      <c r="V563" s="11" t="s">
        <v>2177</v>
      </c>
      <c r="W563" s="54">
        <f>INDEX([1]ACOMPANHAMENTO!H:H,MATCH(A563,[1]ACOMPANHAMENTO!A:A,0))</f>
        <v>45809</v>
      </c>
      <c r="X563" s="11">
        <f t="shared" ca="1" si="8"/>
        <v>-124</v>
      </c>
    </row>
    <row r="564" spans="1:24" x14ac:dyDescent="0.3">
      <c r="A564" s="5">
        <v>604</v>
      </c>
      <c r="B564" s="21">
        <v>210</v>
      </c>
      <c r="C564" s="3" t="s">
        <v>147</v>
      </c>
      <c r="D564" s="4" t="s">
        <v>374</v>
      </c>
      <c r="E564" s="11" t="s">
        <v>2548</v>
      </c>
      <c r="F564" s="18" t="s">
        <v>986</v>
      </c>
      <c r="G564" s="3" t="s">
        <v>214</v>
      </c>
      <c r="H564" s="4" t="s">
        <v>409</v>
      </c>
      <c r="K564" s="8" t="s">
        <v>1108</v>
      </c>
      <c r="S564" t="s">
        <v>1431</v>
      </c>
      <c r="T564" s="11" t="s">
        <v>1272</v>
      </c>
      <c r="U564" s="11" t="s">
        <v>3626</v>
      </c>
      <c r="V564" s="11" t="s">
        <v>2590</v>
      </c>
      <c r="W564" s="54">
        <f>INDEX([1]ACOMPANHAMENTO!H:H,MATCH(A564,[1]ACOMPANHAMENTO!A:A,0))</f>
        <v>45870</v>
      </c>
      <c r="X564" s="11">
        <f t="shared" ca="1" si="8"/>
        <v>-63</v>
      </c>
    </row>
    <row r="565" spans="1:24" x14ac:dyDescent="0.3">
      <c r="A565" s="5">
        <v>606</v>
      </c>
      <c r="B565" s="21">
        <v>242</v>
      </c>
      <c r="C565" s="3" t="s">
        <v>203</v>
      </c>
      <c r="D565" s="4" t="s">
        <v>269</v>
      </c>
      <c r="E565" s="11" t="s">
        <v>3315</v>
      </c>
      <c r="F565" s="18" t="s">
        <v>987</v>
      </c>
      <c r="G565" s="3" t="s">
        <v>231</v>
      </c>
      <c r="H565" s="4" t="s">
        <v>276</v>
      </c>
      <c r="K565" s="8" t="s">
        <v>1055</v>
      </c>
      <c r="S565" t="s">
        <v>1473</v>
      </c>
      <c r="T565" s="11" t="s">
        <v>1474</v>
      </c>
      <c r="U565" s="11" t="s">
        <v>3637</v>
      </c>
      <c r="V565" s="11" t="s">
        <v>3562</v>
      </c>
      <c r="W565" s="54">
        <f>INDEX([1]ACOMPANHAMENTO!H:H,MATCH(A565,[1]ACOMPANHAMENTO!A:A,0))</f>
        <v>45962</v>
      </c>
      <c r="X565" s="11">
        <f t="shared" ca="1" si="8"/>
        <v>29</v>
      </c>
    </row>
    <row r="566" spans="1:24" x14ac:dyDescent="0.3">
      <c r="A566" s="5">
        <v>607</v>
      </c>
      <c r="B566" s="21">
        <v>177</v>
      </c>
      <c r="C566" s="3" t="s">
        <v>190</v>
      </c>
      <c r="D566" s="4" t="s">
        <v>264</v>
      </c>
      <c r="E566" s="11" t="s">
        <v>2156</v>
      </c>
      <c r="F566" s="18" t="s">
        <v>988</v>
      </c>
      <c r="G566" s="3" t="s">
        <v>191</v>
      </c>
      <c r="H566" s="4" t="s">
        <v>1040</v>
      </c>
      <c r="K566" s="8" t="s">
        <v>1052</v>
      </c>
      <c r="S566" t="s">
        <v>1369</v>
      </c>
      <c r="T566" s="11" t="s">
        <v>1368</v>
      </c>
      <c r="U566" s="11" t="s">
        <v>3633</v>
      </c>
      <c r="V566" s="11" t="s">
        <v>2377</v>
      </c>
      <c r="W566" s="54">
        <f>INDEX([1]ACOMPANHAMENTO!H:H,MATCH(A566,[1]ACOMPANHAMENTO!A:A,0))</f>
        <v>45809</v>
      </c>
      <c r="X566" s="11">
        <f t="shared" ca="1" si="8"/>
        <v>-124</v>
      </c>
    </row>
    <row r="567" spans="1:24" x14ac:dyDescent="0.3">
      <c r="A567" s="5">
        <v>608</v>
      </c>
      <c r="B567" s="21">
        <v>145</v>
      </c>
      <c r="C567" s="3" t="s">
        <v>74</v>
      </c>
      <c r="D567" s="4" t="s">
        <v>338</v>
      </c>
      <c r="E567" s="11" t="s">
        <v>2827</v>
      </c>
      <c r="F567" s="18" t="s">
        <v>943</v>
      </c>
      <c r="G567" s="3" t="s">
        <v>68</v>
      </c>
      <c r="H567" s="4" t="s">
        <v>69</v>
      </c>
      <c r="K567" s="8" t="s">
        <v>1052</v>
      </c>
      <c r="M567" s="35">
        <v>0.03</v>
      </c>
      <c r="S567" t="s">
        <v>1212</v>
      </c>
      <c r="T567" s="11" t="s">
        <v>1213</v>
      </c>
      <c r="U567" s="11" t="s">
        <v>943</v>
      </c>
      <c r="V567" s="11" t="s">
        <v>3133</v>
      </c>
      <c r="W567" s="54">
        <f>INDEX([1]ACOMPANHAMENTO!H:H,MATCH(A567,[1]ACOMPANHAMENTO!A:A,0))</f>
        <v>45901</v>
      </c>
      <c r="X567" s="11">
        <f t="shared" ca="1" si="8"/>
        <v>-32</v>
      </c>
    </row>
    <row r="568" spans="1:24" x14ac:dyDescent="0.3">
      <c r="A568" s="5">
        <v>609</v>
      </c>
      <c r="B568" s="21">
        <v>195</v>
      </c>
      <c r="C568" s="3" t="s">
        <v>152</v>
      </c>
      <c r="D568" s="4" t="s">
        <v>522</v>
      </c>
      <c r="E568" s="11" t="s">
        <v>2156</v>
      </c>
      <c r="F568" s="18" t="s">
        <v>989</v>
      </c>
      <c r="G568" s="3" t="s">
        <v>206</v>
      </c>
      <c r="H568" s="4" t="s">
        <v>402</v>
      </c>
      <c r="K568" s="8" t="s">
        <v>1090</v>
      </c>
      <c r="S568" t="s">
        <v>1409</v>
      </c>
      <c r="T568" s="11" t="s">
        <v>1272</v>
      </c>
      <c r="U568" s="11" t="s">
        <v>3628</v>
      </c>
      <c r="V568" s="11" t="s">
        <v>2526</v>
      </c>
      <c r="W568" s="54">
        <f>INDEX([1]ACOMPANHAMENTO!H:H,MATCH(A568,[1]ACOMPANHAMENTO!A:A,0))</f>
        <v>45809</v>
      </c>
      <c r="X568" s="11">
        <f t="shared" ca="1" si="8"/>
        <v>-124</v>
      </c>
    </row>
    <row r="569" spans="1:24" x14ac:dyDescent="0.3">
      <c r="A569" s="5">
        <v>610</v>
      </c>
      <c r="B569" s="21">
        <v>195</v>
      </c>
      <c r="C569" s="3" t="s">
        <v>152</v>
      </c>
      <c r="D569" s="4" t="s">
        <v>522</v>
      </c>
      <c r="E569" s="11" t="s">
        <v>2156</v>
      </c>
      <c r="F569" s="18" t="s">
        <v>939</v>
      </c>
      <c r="G569" s="3" t="s">
        <v>206</v>
      </c>
      <c r="H569" s="4" t="s">
        <v>402</v>
      </c>
      <c r="K569" s="8" t="s">
        <v>1090</v>
      </c>
      <c r="S569" t="s">
        <v>1409</v>
      </c>
      <c r="T569" s="11" t="s">
        <v>1272</v>
      </c>
      <c r="U569" s="11" t="s">
        <v>3628</v>
      </c>
      <c r="V569" s="11" t="s">
        <v>2444</v>
      </c>
      <c r="W569" s="54">
        <f>INDEX([1]ACOMPANHAMENTO!H:H,MATCH(A569,[1]ACOMPANHAMENTO!A:A,0))</f>
        <v>45809</v>
      </c>
      <c r="X569" s="11">
        <f t="shared" ca="1" si="8"/>
        <v>-124</v>
      </c>
    </row>
    <row r="570" spans="1:24" x14ac:dyDescent="0.3">
      <c r="A570" s="5">
        <v>611</v>
      </c>
      <c r="B570" s="21">
        <v>23</v>
      </c>
      <c r="C570" s="3" t="s">
        <v>84</v>
      </c>
      <c r="D570" s="4" t="s">
        <v>344</v>
      </c>
      <c r="E570" s="11" t="s">
        <v>2827</v>
      </c>
      <c r="F570" s="18" t="s">
        <v>990</v>
      </c>
      <c r="G570" s="3" t="s">
        <v>85</v>
      </c>
      <c r="H570" s="4" t="s">
        <v>345</v>
      </c>
      <c r="K570" s="8" t="s">
        <v>1074</v>
      </c>
      <c r="L570" s="32">
        <v>0.03</v>
      </c>
      <c r="S570" t="s">
        <v>1224</v>
      </c>
      <c r="T570" s="11" t="s">
        <v>1225</v>
      </c>
      <c r="U570" s="11" t="s">
        <v>794</v>
      </c>
      <c r="V570" s="11" t="s">
        <v>2881</v>
      </c>
      <c r="W570" s="54">
        <f>INDEX([1]ACOMPANHAMENTO!H:H,MATCH(A570,[1]ACOMPANHAMENTO!A:A,0))</f>
        <v>46082</v>
      </c>
      <c r="X570" s="11">
        <f t="shared" ca="1" si="8"/>
        <v>149</v>
      </c>
    </row>
    <row r="571" spans="1:24" x14ac:dyDescent="0.3">
      <c r="A571" s="5">
        <v>612</v>
      </c>
      <c r="B571" s="21">
        <v>56</v>
      </c>
      <c r="C571" s="3" t="s">
        <v>84</v>
      </c>
      <c r="D571" s="4" t="s">
        <v>344</v>
      </c>
      <c r="E571" s="11" t="s">
        <v>2827</v>
      </c>
      <c r="F571" s="18" t="s">
        <v>991</v>
      </c>
      <c r="G571" s="3" t="s">
        <v>86</v>
      </c>
      <c r="H571" s="4" t="s">
        <v>346</v>
      </c>
      <c r="K571" s="8" t="s">
        <v>1074</v>
      </c>
      <c r="L571" s="32">
        <v>0.03</v>
      </c>
      <c r="S571" t="s">
        <v>1226</v>
      </c>
      <c r="T571" s="11" t="s">
        <v>1227</v>
      </c>
      <c r="U571" s="11" t="s">
        <v>794</v>
      </c>
      <c r="V571" s="11" t="s">
        <v>3563</v>
      </c>
      <c r="W571" s="54">
        <f>INDEX([1]ACOMPANHAMENTO!H:H,MATCH(A571,[1]ACOMPANHAMENTO!A:A,0))</f>
        <v>45717</v>
      </c>
      <c r="X571" s="11">
        <f t="shared" ca="1" si="8"/>
        <v>-216</v>
      </c>
    </row>
    <row r="572" spans="1:24" x14ac:dyDescent="0.3">
      <c r="A572" s="5">
        <v>614</v>
      </c>
      <c r="B572" s="21">
        <v>236</v>
      </c>
      <c r="C572" s="3" t="s">
        <v>234</v>
      </c>
      <c r="D572" s="4" t="s">
        <v>278</v>
      </c>
      <c r="E572" s="11" t="s">
        <v>3315</v>
      </c>
      <c r="F572" s="18" t="s">
        <v>992</v>
      </c>
      <c r="G572" s="3" t="s">
        <v>233</v>
      </c>
      <c r="H572" s="4" t="s">
        <v>277</v>
      </c>
      <c r="K572" s="8" t="s">
        <v>1052</v>
      </c>
      <c r="S572" t="s">
        <v>1462</v>
      </c>
      <c r="T572" s="11" t="s">
        <v>1463</v>
      </c>
      <c r="U572" s="11" t="s">
        <v>927</v>
      </c>
      <c r="V572" s="11" t="s">
        <v>3326</v>
      </c>
      <c r="W572" s="54">
        <f>INDEX([1]ACOMPANHAMENTO!H:H,MATCH(A572,[1]ACOMPANHAMENTO!A:A,0))</f>
        <v>45962</v>
      </c>
      <c r="X572" s="11">
        <f t="shared" ca="1" si="8"/>
        <v>29</v>
      </c>
    </row>
    <row r="573" spans="1:24" x14ac:dyDescent="0.3">
      <c r="A573" s="5">
        <v>615</v>
      </c>
      <c r="B573" s="21">
        <v>187</v>
      </c>
      <c r="C573" s="3" t="s">
        <v>198</v>
      </c>
      <c r="D573" s="4" t="s">
        <v>398</v>
      </c>
      <c r="E573" s="11" t="s">
        <v>2156</v>
      </c>
      <c r="F573" s="18" t="s">
        <v>993</v>
      </c>
      <c r="G573" s="3" t="s">
        <v>197</v>
      </c>
      <c r="H573" s="4" t="s">
        <v>533</v>
      </c>
      <c r="K573" s="8" t="s">
        <v>1102</v>
      </c>
      <c r="S573" t="s">
        <v>1389</v>
      </c>
      <c r="T573" s="11" t="s">
        <v>1388</v>
      </c>
      <c r="U573" s="11" t="s">
        <v>3635</v>
      </c>
      <c r="V573" s="11" t="s">
        <v>3564</v>
      </c>
      <c r="W573" s="54">
        <f>INDEX([1]ACOMPANHAMENTO!H:H,MATCH(A573,[1]ACOMPANHAMENTO!A:A,0))</f>
        <v>45809</v>
      </c>
      <c r="X573" s="11">
        <f t="shared" ca="1" si="8"/>
        <v>-124</v>
      </c>
    </row>
    <row r="574" spans="1:24" x14ac:dyDescent="0.3">
      <c r="A574" s="5">
        <v>616</v>
      </c>
      <c r="B574" s="21">
        <v>222</v>
      </c>
      <c r="C574" s="3" t="s">
        <v>517</v>
      </c>
      <c r="D574" s="4" t="s">
        <v>518</v>
      </c>
      <c r="E574" s="11" t="s">
        <v>2156</v>
      </c>
      <c r="F574" s="18" t="s">
        <v>994</v>
      </c>
      <c r="G574" s="3" t="s">
        <v>249</v>
      </c>
      <c r="H574" s="4" t="s">
        <v>426</v>
      </c>
      <c r="K574" s="8" t="s">
        <v>1090</v>
      </c>
      <c r="S574" t="s">
        <v>1468</v>
      </c>
      <c r="T574" s="11" t="s">
        <v>1467</v>
      </c>
      <c r="U574" s="11" t="s">
        <v>3603</v>
      </c>
      <c r="V574" s="11" t="s">
        <v>2208</v>
      </c>
      <c r="W574" s="54">
        <f>INDEX([1]ACOMPANHAMENTO!H:H,MATCH(A574,[1]ACOMPANHAMENTO!A:A,0))</f>
        <v>45839</v>
      </c>
      <c r="X574" s="11">
        <f t="shared" ca="1" si="8"/>
        <v>-94</v>
      </c>
    </row>
    <row r="575" spans="1:24" x14ac:dyDescent="0.3">
      <c r="A575" s="5">
        <v>617</v>
      </c>
      <c r="B575" s="21">
        <v>201</v>
      </c>
      <c r="C575" s="3" t="s">
        <v>213</v>
      </c>
      <c r="D575" s="4" t="s">
        <v>408</v>
      </c>
      <c r="E575" s="11" t="s">
        <v>2156</v>
      </c>
      <c r="F575" s="18" t="s">
        <v>995</v>
      </c>
      <c r="G575" s="3" t="s">
        <v>212</v>
      </c>
      <c r="H575" s="4" t="s">
        <v>407</v>
      </c>
      <c r="K575" s="8" t="s">
        <v>1109</v>
      </c>
      <c r="S575" t="s">
        <v>1421</v>
      </c>
      <c r="T575" s="11" t="s">
        <v>1422</v>
      </c>
      <c r="U575" s="11" t="s">
        <v>3595</v>
      </c>
      <c r="V575" s="11" t="s">
        <v>3565</v>
      </c>
      <c r="W575" s="54">
        <f>INDEX([1]ACOMPANHAMENTO!H:H,MATCH(A575,[1]ACOMPANHAMENTO!A:A,0))</f>
        <v>45778</v>
      </c>
      <c r="X575" s="11">
        <f t="shared" ca="1" si="8"/>
        <v>-155</v>
      </c>
    </row>
    <row r="576" spans="1:24" x14ac:dyDescent="0.3">
      <c r="A576" s="5">
        <v>618</v>
      </c>
      <c r="B576" s="21">
        <v>176</v>
      </c>
      <c r="C576" s="3" t="s">
        <v>102</v>
      </c>
      <c r="D576" s="4" t="s">
        <v>355</v>
      </c>
      <c r="E576" s="11" t="s">
        <v>2827</v>
      </c>
      <c r="F576" s="18" t="s">
        <v>996</v>
      </c>
      <c r="G576" s="3" t="s">
        <v>3</v>
      </c>
      <c r="H576" s="4" t="s">
        <v>7</v>
      </c>
      <c r="K576" s="8" t="s">
        <v>1052</v>
      </c>
      <c r="M576" s="35">
        <v>0.05</v>
      </c>
      <c r="S576" t="s">
        <v>1356</v>
      </c>
      <c r="T576" s="11" t="s">
        <v>1357</v>
      </c>
      <c r="U576" s="11" t="s">
        <v>601</v>
      </c>
      <c r="V576" s="11" t="s">
        <v>3566</v>
      </c>
      <c r="W576" s="54">
        <f>INDEX([1]ACOMPANHAMENTO!H:H,MATCH(A576,[1]ACOMPANHAMENTO!A:A,0))</f>
        <v>45778</v>
      </c>
      <c r="X576" s="11">
        <f t="shared" ca="1" si="8"/>
        <v>-155</v>
      </c>
    </row>
    <row r="577" spans="1:118" x14ac:dyDescent="0.3">
      <c r="A577" s="5">
        <v>619</v>
      </c>
      <c r="B577" s="21">
        <v>184</v>
      </c>
      <c r="C577" s="3" t="s">
        <v>201</v>
      </c>
      <c r="D577" s="4" t="s">
        <v>268</v>
      </c>
      <c r="E577" s="11" t="s">
        <v>2156</v>
      </c>
      <c r="F577" s="18" t="s">
        <v>997</v>
      </c>
      <c r="G577" s="3" t="s">
        <v>200</v>
      </c>
      <c r="H577" s="4" t="s">
        <v>267</v>
      </c>
      <c r="K577" s="8" t="s">
        <v>1052</v>
      </c>
      <c r="S577" t="s">
        <v>1394</v>
      </c>
      <c r="T577" s="11" t="s">
        <v>1394</v>
      </c>
      <c r="U577" s="11" t="s">
        <v>3636</v>
      </c>
      <c r="V577" s="11" t="s">
        <v>3567</v>
      </c>
      <c r="W577" s="54">
        <f>INDEX([1]ACOMPANHAMENTO!H:H,MATCH(A577,[1]ACOMPANHAMENTO!A:A,0))</f>
        <v>45809</v>
      </c>
      <c r="X577" s="11">
        <f t="shared" ca="1" si="8"/>
        <v>-124</v>
      </c>
    </row>
    <row r="578" spans="1:118" x14ac:dyDescent="0.3">
      <c r="A578" s="5">
        <v>620</v>
      </c>
      <c r="B578" s="21">
        <v>129</v>
      </c>
      <c r="C578" s="3" t="s">
        <v>163</v>
      </c>
      <c r="D578" s="4" t="s">
        <v>164</v>
      </c>
      <c r="E578" s="11" t="s">
        <v>2156</v>
      </c>
      <c r="F578" s="18" t="s">
        <v>998</v>
      </c>
      <c r="G578" s="3" t="s">
        <v>434</v>
      </c>
      <c r="H578" s="4" t="s">
        <v>162</v>
      </c>
      <c r="K578" s="8" t="s">
        <v>1092</v>
      </c>
      <c r="S578" t="s">
        <v>1328</v>
      </c>
      <c r="T578" s="11" t="s">
        <v>1327</v>
      </c>
      <c r="U578" s="11" t="s">
        <v>906</v>
      </c>
      <c r="V578" s="11" t="s">
        <v>3568</v>
      </c>
      <c r="W578" s="54">
        <f>INDEX([1]ACOMPANHAMENTO!H:H,MATCH(A578,[1]ACOMPANHAMENTO!A:A,0))</f>
        <v>45809</v>
      </c>
      <c r="X578" s="11">
        <f t="shared" ca="1" si="8"/>
        <v>-124</v>
      </c>
    </row>
    <row r="579" spans="1:118" x14ac:dyDescent="0.3">
      <c r="A579" s="5">
        <v>621</v>
      </c>
      <c r="B579" s="21">
        <v>244</v>
      </c>
      <c r="C579" s="3" t="s">
        <v>525</v>
      </c>
      <c r="D579" s="4" t="s">
        <v>524</v>
      </c>
      <c r="E579" s="11" t="s">
        <v>1510</v>
      </c>
      <c r="F579" s="18" t="s">
        <v>999</v>
      </c>
      <c r="G579" s="3" t="s">
        <v>243</v>
      </c>
      <c r="H579" s="4" t="s">
        <v>523</v>
      </c>
      <c r="K579" s="8" t="s">
        <v>1118</v>
      </c>
      <c r="S579" t="s">
        <v>1475</v>
      </c>
      <c r="T579" s="11" t="s">
        <v>1476</v>
      </c>
      <c r="U579" s="11" t="s">
        <v>3671</v>
      </c>
      <c r="V579" s="11" t="s">
        <v>1908</v>
      </c>
      <c r="W579" s="54">
        <f>INDEX([1]ACOMPANHAMENTO!H:H,MATCH(A579,[1]ACOMPANHAMENTO!A:A,0))</f>
        <v>45901</v>
      </c>
      <c r="X579" s="11">
        <f t="shared" ref="X579:X625" ca="1" si="9">W579-TODAY()</f>
        <v>-32</v>
      </c>
    </row>
    <row r="580" spans="1:118" x14ac:dyDescent="0.3">
      <c r="A580" s="5">
        <v>622</v>
      </c>
      <c r="B580" s="21">
        <v>195</v>
      </c>
      <c r="C580" s="3" t="s">
        <v>152</v>
      </c>
      <c r="D580" s="4" t="s">
        <v>522</v>
      </c>
      <c r="E580" s="11" t="s">
        <v>2156</v>
      </c>
      <c r="F580" s="18" t="s">
        <v>1000</v>
      </c>
      <c r="G580" s="3" t="s">
        <v>206</v>
      </c>
      <c r="H580" s="4" t="s">
        <v>402</v>
      </c>
      <c r="K580" s="8" t="s">
        <v>1090</v>
      </c>
      <c r="S580" t="s">
        <v>1409</v>
      </c>
      <c r="T580" s="11" t="s">
        <v>1272</v>
      </c>
      <c r="U580" s="11" t="s">
        <v>3628</v>
      </c>
      <c r="V580" s="11" t="s">
        <v>2303</v>
      </c>
      <c r="W580" s="54">
        <f>INDEX([1]ACOMPANHAMENTO!H:H,MATCH(A580,[1]ACOMPANHAMENTO!A:A,0))</f>
        <v>45809</v>
      </c>
      <c r="X580" s="11">
        <f t="shared" ca="1" si="9"/>
        <v>-124</v>
      </c>
    </row>
    <row r="581" spans="1:118" x14ac:dyDescent="0.3">
      <c r="A581" s="5">
        <v>623</v>
      </c>
      <c r="B581" s="21">
        <v>82</v>
      </c>
      <c r="C581" s="3" t="s">
        <v>115</v>
      </c>
      <c r="D581" s="4" t="s">
        <v>116</v>
      </c>
      <c r="E581" s="11" t="s">
        <v>2827</v>
      </c>
      <c r="F581" s="18" t="s">
        <v>1001</v>
      </c>
      <c r="G581" s="3" t="s">
        <v>113</v>
      </c>
      <c r="H581" s="4" t="s">
        <v>114</v>
      </c>
      <c r="K581" s="8" t="s">
        <v>1067</v>
      </c>
      <c r="S581" t="s">
        <v>1266</v>
      </c>
      <c r="T581" s="11" t="s">
        <v>1267</v>
      </c>
      <c r="U581" s="11" t="s">
        <v>768</v>
      </c>
      <c r="V581" s="11" t="s">
        <v>3295</v>
      </c>
      <c r="W581" s="54">
        <f>INDEX([1]ACOMPANHAMENTO!H:H,MATCH(A581,[1]ACOMPANHAMENTO!A:A,0))</f>
        <v>45962</v>
      </c>
      <c r="X581" s="11">
        <f t="shared" ca="1" si="9"/>
        <v>29</v>
      </c>
    </row>
    <row r="582" spans="1:118" x14ac:dyDescent="0.3">
      <c r="A582" s="5">
        <v>624</v>
      </c>
      <c r="B582" s="21">
        <v>149</v>
      </c>
      <c r="C582" s="3" t="s">
        <v>468</v>
      </c>
      <c r="D582" s="4" t="s">
        <v>467</v>
      </c>
      <c r="E582" s="11" t="s">
        <v>2548</v>
      </c>
      <c r="F582" s="18" t="s">
        <v>1002</v>
      </c>
      <c r="G582" s="3" t="s">
        <v>154</v>
      </c>
      <c r="H582" s="4" t="s">
        <v>155</v>
      </c>
      <c r="K582" s="8" t="s">
        <v>1095</v>
      </c>
      <c r="S582" t="s">
        <v>1337</v>
      </c>
      <c r="T582" s="11" t="s">
        <v>1336</v>
      </c>
      <c r="U582" s="11" t="s">
        <v>3655</v>
      </c>
      <c r="V582" s="11" t="s">
        <v>3569</v>
      </c>
      <c r="W582" s="54">
        <f>INDEX([1]ACOMPANHAMENTO!H:H,MATCH(A582,[1]ACOMPANHAMENTO!A:A,0))</f>
        <v>45839</v>
      </c>
      <c r="X582" s="11">
        <f t="shared" ca="1" si="9"/>
        <v>-94</v>
      </c>
    </row>
    <row r="583" spans="1:118" x14ac:dyDescent="0.3">
      <c r="A583" s="5">
        <v>625</v>
      </c>
      <c r="B583" s="21">
        <v>246</v>
      </c>
      <c r="C583" s="3" t="s">
        <v>242</v>
      </c>
      <c r="D583" s="4" t="s">
        <v>283</v>
      </c>
      <c r="E583" s="4" t="s">
        <v>1510</v>
      </c>
      <c r="F583" s="18" t="s">
        <v>1003</v>
      </c>
      <c r="G583" s="3" t="s">
        <v>236</v>
      </c>
      <c r="H583" s="4" t="s">
        <v>279</v>
      </c>
      <c r="K583" s="7" t="s">
        <v>1119</v>
      </c>
      <c r="L583" s="34"/>
      <c r="M583" s="37"/>
      <c r="N583" s="34"/>
      <c r="O583" s="34"/>
      <c r="P583" s="34"/>
      <c r="Q583" s="34"/>
      <c r="R583" s="4"/>
      <c r="S583" t="s">
        <v>1465</v>
      </c>
      <c r="T583" s="4" t="s">
        <v>1466</v>
      </c>
      <c r="U583" s="4" t="s">
        <v>3650</v>
      </c>
      <c r="V583" s="4" t="s">
        <v>3570</v>
      </c>
      <c r="W583" s="54">
        <f>INDEX([1]ACOMPANHAMENTO!H:H,MATCH(A583,[1]ACOMPANHAMENTO!A:A,0))</f>
        <v>45901</v>
      </c>
      <c r="X583" s="11">
        <f t="shared" ca="1" si="9"/>
        <v>-32</v>
      </c>
    </row>
    <row r="584" spans="1:118" x14ac:dyDescent="0.3">
      <c r="A584" s="5">
        <v>626</v>
      </c>
      <c r="B584" s="21">
        <v>149</v>
      </c>
      <c r="C584" s="3" t="s">
        <v>468</v>
      </c>
      <c r="D584" s="4" t="s">
        <v>467</v>
      </c>
      <c r="E584" s="11" t="s">
        <v>2548</v>
      </c>
      <c r="F584" s="18" t="s">
        <v>1004</v>
      </c>
      <c r="G584" s="3" t="s">
        <v>154</v>
      </c>
      <c r="H584" s="4" t="s">
        <v>155</v>
      </c>
      <c r="K584" s="8" t="s">
        <v>1095</v>
      </c>
      <c r="S584" t="s">
        <v>1337</v>
      </c>
      <c r="T584" s="11" t="s">
        <v>1336</v>
      </c>
      <c r="U584" s="11" t="s">
        <v>3655</v>
      </c>
      <c r="V584" s="11" t="s">
        <v>2607</v>
      </c>
      <c r="W584" s="54">
        <f>INDEX([1]ACOMPANHAMENTO!H:H,MATCH(A584,[1]ACOMPANHAMENTO!A:A,0))</f>
        <v>45839</v>
      </c>
      <c r="X584" s="11">
        <f t="shared" ca="1" si="9"/>
        <v>-94</v>
      </c>
    </row>
    <row r="585" spans="1:118" x14ac:dyDescent="0.3">
      <c r="A585" s="5">
        <v>627</v>
      </c>
      <c r="B585" s="21">
        <v>187</v>
      </c>
      <c r="C585" s="3" t="s">
        <v>198</v>
      </c>
      <c r="D585" s="4" t="s">
        <v>398</v>
      </c>
      <c r="E585" s="11" t="s">
        <v>2156</v>
      </c>
      <c r="F585" s="18" t="s">
        <v>1005</v>
      </c>
      <c r="G585" s="3" t="s">
        <v>197</v>
      </c>
      <c r="H585" s="4" t="s">
        <v>533</v>
      </c>
      <c r="K585" s="8" t="s">
        <v>1102</v>
      </c>
      <c r="S585" t="s">
        <v>1389</v>
      </c>
      <c r="T585" s="11" t="s">
        <v>1388</v>
      </c>
      <c r="U585" s="11" t="s">
        <v>3635</v>
      </c>
      <c r="V585" s="11" t="s">
        <v>3571</v>
      </c>
      <c r="W585" s="54">
        <f>INDEX([1]ACOMPANHAMENTO!H:H,MATCH(A585,[1]ACOMPANHAMENTO!A:A,0))</f>
        <v>45809</v>
      </c>
      <c r="X585" s="11">
        <f t="shared" ca="1" si="9"/>
        <v>-124</v>
      </c>
    </row>
    <row r="586" spans="1:118" x14ac:dyDescent="0.3">
      <c r="A586" s="5">
        <v>628</v>
      </c>
      <c r="B586" s="21">
        <v>201</v>
      </c>
      <c r="C586" s="3" t="s">
        <v>213</v>
      </c>
      <c r="D586" s="4" t="s">
        <v>408</v>
      </c>
      <c r="E586" s="11" t="s">
        <v>2156</v>
      </c>
      <c r="F586" s="18" t="s">
        <v>1006</v>
      </c>
      <c r="G586" s="3" t="s">
        <v>212</v>
      </c>
      <c r="H586" s="4" t="s">
        <v>407</v>
      </c>
      <c r="K586" s="8" t="s">
        <v>1109</v>
      </c>
      <c r="S586" t="s">
        <v>1421</v>
      </c>
      <c r="T586" s="11" t="s">
        <v>1422</v>
      </c>
      <c r="U586" s="11" t="s">
        <v>3595</v>
      </c>
      <c r="V586" s="11" t="s">
        <v>3572</v>
      </c>
      <c r="W586" s="54">
        <f>INDEX([1]ACOMPANHAMENTO!H:H,MATCH(A586,[1]ACOMPANHAMENTO!A:A,0))</f>
        <v>45778</v>
      </c>
      <c r="X586" s="11">
        <f t="shared" ca="1" si="9"/>
        <v>-155</v>
      </c>
    </row>
    <row r="587" spans="1:118" x14ac:dyDescent="0.3">
      <c r="A587" s="5">
        <v>629</v>
      </c>
      <c r="B587" s="21">
        <v>247</v>
      </c>
      <c r="C587" s="3" t="s">
        <v>245</v>
      </c>
      <c r="D587" s="4" t="s">
        <v>422</v>
      </c>
      <c r="E587" s="11" t="s">
        <v>1510</v>
      </c>
      <c r="F587" s="18" t="s">
        <v>1007</v>
      </c>
      <c r="G587" s="3" t="s">
        <v>236</v>
      </c>
      <c r="H587" s="4" t="s">
        <v>279</v>
      </c>
      <c r="K587" s="8" t="s">
        <v>1120</v>
      </c>
      <c r="S587" t="s">
        <v>1477</v>
      </c>
      <c r="T587" s="11" t="s">
        <v>1478</v>
      </c>
      <c r="U587" s="11" t="s">
        <v>3602</v>
      </c>
      <c r="V587" s="11" t="s">
        <v>1518</v>
      </c>
      <c r="W587" s="54">
        <f>INDEX([1]ACOMPANHAMENTO!H:H,MATCH(A587,[1]ACOMPANHAMENTO!A:A,0))</f>
        <v>45901</v>
      </c>
      <c r="X587" s="11">
        <f t="shared" ca="1" si="9"/>
        <v>-32</v>
      </c>
    </row>
    <row r="588" spans="1:118" x14ac:dyDescent="0.3">
      <c r="A588" s="5">
        <v>630</v>
      </c>
      <c r="B588" s="21">
        <v>249</v>
      </c>
      <c r="C588" s="3" t="s">
        <v>13</v>
      </c>
      <c r="D588" s="4" t="s">
        <v>299</v>
      </c>
      <c r="E588" s="11" t="s">
        <v>2827</v>
      </c>
      <c r="F588" s="18" t="s">
        <v>1008</v>
      </c>
      <c r="G588" s="3" t="s">
        <v>12</v>
      </c>
      <c r="H588" s="4" t="s">
        <v>298</v>
      </c>
      <c r="K588" s="8" t="s">
        <v>1052</v>
      </c>
      <c r="M588" s="35">
        <v>0.02</v>
      </c>
      <c r="S588" t="s">
        <v>1295</v>
      </c>
      <c r="T588" s="11" t="s">
        <v>1296</v>
      </c>
      <c r="U588" s="11" t="s">
        <v>3589</v>
      </c>
      <c r="V588" s="11" t="s">
        <v>2901</v>
      </c>
      <c r="W588" s="54">
        <f>INDEX([1]ACOMPANHAMENTO!H:H,MATCH(A588,[1]ACOMPANHAMENTO!A:A,0))</f>
        <v>45717</v>
      </c>
      <c r="X588" s="11">
        <f t="shared" ca="1" si="9"/>
        <v>-216</v>
      </c>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c r="DM588" s="4"/>
      <c r="DN588" s="4"/>
    </row>
    <row r="589" spans="1:118" x14ac:dyDescent="0.3">
      <c r="A589" s="5">
        <v>631</v>
      </c>
      <c r="B589" s="21">
        <v>180</v>
      </c>
      <c r="C589" s="3" t="s">
        <v>196</v>
      </c>
      <c r="D589" s="4" t="s">
        <v>487</v>
      </c>
      <c r="E589" s="11" t="s">
        <v>2156</v>
      </c>
      <c r="F589" s="18" t="s">
        <v>1009</v>
      </c>
      <c r="G589" s="3" t="s">
        <v>195</v>
      </c>
      <c r="H589" s="4" t="s">
        <v>397</v>
      </c>
      <c r="K589" s="8" t="s">
        <v>1052</v>
      </c>
      <c r="S589" t="s">
        <v>1385</v>
      </c>
      <c r="T589" s="11" t="s">
        <v>1384</v>
      </c>
      <c r="V589" s="11" t="s">
        <v>2255</v>
      </c>
      <c r="W589" s="54">
        <f>INDEX([1]ACOMPANHAMENTO!H:H,MATCH(A589,[1]ACOMPANHAMENTO!A:A,0))</f>
        <v>45809</v>
      </c>
      <c r="X589" s="11">
        <f t="shared" ca="1" si="9"/>
        <v>-124</v>
      </c>
    </row>
    <row r="590" spans="1:118" x14ac:dyDescent="0.3">
      <c r="A590" s="5">
        <v>632</v>
      </c>
      <c r="B590" s="21">
        <v>212</v>
      </c>
      <c r="C590" s="3" t="s">
        <v>208</v>
      </c>
      <c r="D590" s="4" t="s">
        <v>404</v>
      </c>
      <c r="E590" s="11" t="s">
        <v>2156</v>
      </c>
      <c r="F590" s="18" t="s">
        <v>1010</v>
      </c>
      <c r="G590" s="3" t="s">
        <v>207</v>
      </c>
      <c r="H590" s="4" t="s">
        <v>403</v>
      </c>
      <c r="K590" s="8" t="s">
        <v>1090</v>
      </c>
      <c r="S590" t="s">
        <v>1414</v>
      </c>
      <c r="T590" s="11" t="s">
        <v>1415</v>
      </c>
      <c r="U590" s="11" t="s">
        <v>3638</v>
      </c>
      <c r="V590" s="11" t="s">
        <v>3573</v>
      </c>
      <c r="W590" s="54">
        <f>INDEX([1]ACOMPANHAMENTO!H:H,MATCH(A590,[1]ACOMPANHAMENTO!A:A,0))</f>
        <v>45962</v>
      </c>
      <c r="X590" s="11">
        <f t="shared" ca="1" si="9"/>
        <v>29</v>
      </c>
    </row>
    <row r="591" spans="1:118" x14ac:dyDescent="0.3">
      <c r="A591" s="5">
        <v>633</v>
      </c>
      <c r="B591" s="21">
        <v>124</v>
      </c>
      <c r="C591" s="3" t="s">
        <v>156</v>
      </c>
      <c r="D591" s="4" t="s">
        <v>379</v>
      </c>
      <c r="E591" s="11" t="s">
        <v>2548</v>
      </c>
      <c r="F591" s="18" t="s">
        <v>1011</v>
      </c>
      <c r="G591" s="3" t="s">
        <v>154</v>
      </c>
      <c r="H591" s="4" t="s">
        <v>155</v>
      </c>
      <c r="K591" s="8" t="s">
        <v>1091</v>
      </c>
      <c r="S591" t="s">
        <v>1339</v>
      </c>
      <c r="T591" s="11" t="s">
        <v>1272</v>
      </c>
      <c r="U591" s="11" t="s">
        <v>3629</v>
      </c>
      <c r="V591" s="11" t="s">
        <v>2709</v>
      </c>
      <c r="W591" s="54">
        <f>INDEX([1]ACOMPANHAMENTO!H:H,MATCH(A591,[1]ACOMPANHAMENTO!A:A,0))</f>
        <v>46023</v>
      </c>
      <c r="X591" s="11">
        <f t="shared" ca="1" si="9"/>
        <v>90</v>
      </c>
    </row>
    <row r="592" spans="1:118" x14ac:dyDescent="0.3">
      <c r="A592" s="5">
        <v>634</v>
      </c>
      <c r="B592" s="21">
        <v>217</v>
      </c>
      <c r="C592" s="3" t="s">
        <v>223</v>
      </c>
      <c r="D592" s="4" t="s">
        <v>273</v>
      </c>
      <c r="E592" s="11" t="s">
        <v>1510</v>
      </c>
      <c r="F592" s="18" t="s">
        <v>1012</v>
      </c>
      <c r="G592" s="3" t="s">
        <v>222</v>
      </c>
      <c r="H592" s="4" t="s">
        <v>272</v>
      </c>
      <c r="K592" s="8" t="s">
        <v>1110</v>
      </c>
      <c r="S592" t="s">
        <v>1433</v>
      </c>
      <c r="T592" s="11" t="s">
        <v>1434</v>
      </c>
      <c r="U592" s="11" t="s">
        <v>3642</v>
      </c>
      <c r="V592" s="11" t="s">
        <v>1850</v>
      </c>
      <c r="W592" s="54">
        <f>INDEX([1]ACOMPANHAMENTO!H:H,MATCH(A592,[1]ACOMPANHAMENTO!A:A,0))</f>
        <v>45901</v>
      </c>
      <c r="X592" s="11">
        <f t="shared" ca="1" si="9"/>
        <v>-32</v>
      </c>
    </row>
    <row r="593" spans="1:24" x14ac:dyDescent="0.3">
      <c r="A593" s="5">
        <v>635</v>
      </c>
      <c r="B593" s="21">
        <v>102</v>
      </c>
      <c r="C593" s="3" t="s">
        <v>129</v>
      </c>
      <c r="D593" s="4" t="s">
        <v>363</v>
      </c>
      <c r="E593" s="11" t="s">
        <v>2827</v>
      </c>
      <c r="F593" s="18" t="s">
        <v>1013</v>
      </c>
      <c r="G593" s="3" t="s">
        <v>128</v>
      </c>
      <c r="H593" s="4" t="s">
        <v>362</v>
      </c>
      <c r="K593" s="8" t="s">
        <v>1055</v>
      </c>
      <c r="Q593" s="11" t="s">
        <v>1084</v>
      </c>
      <c r="S593" t="s">
        <v>1291</v>
      </c>
      <c r="T593" s="11" t="s">
        <v>1292</v>
      </c>
      <c r="U593" s="11" t="s">
        <v>941</v>
      </c>
      <c r="V593" s="11" t="s">
        <v>2920</v>
      </c>
      <c r="W593" s="54">
        <f>INDEX([1]ACOMPANHAMENTO!H:H,MATCH(A593,[1]ACOMPANHAMENTO!A:A,0))</f>
        <v>46204</v>
      </c>
      <c r="X593" s="11">
        <f t="shared" ca="1" si="9"/>
        <v>271</v>
      </c>
    </row>
    <row r="594" spans="1:24" x14ac:dyDescent="0.3">
      <c r="A594" s="5">
        <v>636</v>
      </c>
      <c r="B594" s="21">
        <v>212</v>
      </c>
      <c r="C594" s="3" t="s">
        <v>208</v>
      </c>
      <c r="D594" s="4" t="s">
        <v>404</v>
      </c>
      <c r="E594" s="11" t="s">
        <v>2156</v>
      </c>
      <c r="F594" s="18" t="s">
        <v>1014</v>
      </c>
      <c r="G594" s="3" t="s">
        <v>207</v>
      </c>
      <c r="H594" s="4" t="s">
        <v>403</v>
      </c>
      <c r="K594" s="8" t="s">
        <v>1090</v>
      </c>
      <c r="S594" t="s">
        <v>1414</v>
      </c>
      <c r="T594" s="11" t="s">
        <v>1415</v>
      </c>
      <c r="U594" s="11" t="s">
        <v>3638</v>
      </c>
      <c r="V594" s="11" t="s">
        <v>3574</v>
      </c>
      <c r="W594" s="54">
        <f>INDEX([1]ACOMPANHAMENTO!H:H,MATCH(A594,[1]ACOMPANHAMENTO!A:A,0))</f>
        <v>45962</v>
      </c>
      <c r="X594" s="11">
        <f t="shared" ca="1" si="9"/>
        <v>29</v>
      </c>
    </row>
    <row r="595" spans="1:24" x14ac:dyDescent="0.3">
      <c r="A595" s="5">
        <v>637</v>
      </c>
      <c r="B595" s="21">
        <v>217</v>
      </c>
      <c r="C595" s="3" t="s">
        <v>223</v>
      </c>
      <c r="D595" s="4" t="s">
        <v>273</v>
      </c>
      <c r="E595" s="11" t="s">
        <v>1510</v>
      </c>
      <c r="F595" s="18" t="s">
        <v>1015</v>
      </c>
      <c r="G595" s="3" t="s">
        <v>222</v>
      </c>
      <c r="H595" s="4" t="s">
        <v>272</v>
      </c>
      <c r="K595" s="8" t="s">
        <v>1110</v>
      </c>
      <c r="S595" t="s">
        <v>1433</v>
      </c>
      <c r="T595" s="11" t="s">
        <v>1434</v>
      </c>
      <c r="U595" s="11" t="s">
        <v>3642</v>
      </c>
      <c r="V595" s="11" t="s">
        <v>2117</v>
      </c>
      <c r="W595" s="54">
        <f>INDEX([1]ACOMPANHAMENTO!H:H,MATCH(A595,[1]ACOMPANHAMENTO!A:A,0))</f>
        <v>45901</v>
      </c>
      <c r="X595" s="11">
        <f t="shared" ca="1" si="9"/>
        <v>-32</v>
      </c>
    </row>
    <row r="596" spans="1:24" x14ac:dyDescent="0.3">
      <c r="A596" s="5">
        <v>638</v>
      </c>
      <c r="B596" s="21">
        <v>120</v>
      </c>
      <c r="C596" s="3" t="s">
        <v>146</v>
      </c>
      <c r="D596" s="4" t="s">
        <v>373</v>
      </c>
      <c r="E596" s="11" t="s">
        <v>2827</v>
      </c>
      <c r="F596" s="18" t="s">
        <v>1016</v>
      </c>
      <c r="G596" s="3" t="s">
        <v>60</v>
      </c>
      <c r="H596" s="4" t="s">
        <v>330</v>
      </c>
      <c r="K596" s="8" t="s">
        <v>1067</v>
      </c>
      <c r="L596" s="32">
        <v>1.4999999999999999E-2</v>
      </c>
      <c r="M596" s="35">
        <v>0.05</v>
      </c>
      <c r="S596" t="s">
        <v>1317</v>
      </c>
      <c r="T596" s="11" t="s">
        <v>1318</v>
      </c>
      <c r="U596" s="11" t="s">
        <v>3613</v>
      </c>
      <c r="V596" s="11" t="s">
        <v>3053</v>
      </c>
      <c r="W596" s="54">
        <f>INDEX([1]ACOMPANHAMENTO!H:H,MATCH(A596,[1]ACOMPANHAMENTO!A:A,0))</f>
        <v>45717</v>
      </c>
      <c r="X596" s="11">
        <f t="shared" ca="1" si="9"/>
        <v>-216</v>
      </c>
    </row>
    <row r="597" spans="1:24" x14ac:dyDescent="0.3">
      <c r="A597" s="5">
        <v>639</v>
      </c>
      <c r="B597" s="21">
        <v>145</v>
      </c>
      <c r="C597" s="3" t="s">
        <v>74</v>
      </c>
      <c r="D597" s="4" t="s">
        <v>338</v>
      </c>
      <c r="E597" s="11" t="s">
        <v>2827</v>
      </c>
      <c r="F597" s="18" t="s">
        <v>1017</v>
      </c>
      <c r="G597" s="3" t="s">
        <v>68</v>
      </c>
      <c r="H597" s="4" t="s">
        <v>69</v>
      </c>
      <c r="K597" s="8" t="s">
        <v>1052</v>
      </c>
      <c r="M597" s="35">
        <v>0.03</v>
      </c>
      <c r="S597" t="s">
        <v>1212</v>
      </c>
      <c r="T597" s="11" t="s">
        <v>1213</v>
      </c>
      <c r="U597" s="11" t="s">
        <v>943</v>
      </c>
      <c r="V597" s="11" t="s">
        <v>3133</v>
      </c>
      <c r="W597" s="54">
        <f>INDEX([1]ACOMPANHAMENTO!H:H,MATCH(A597,[1]ACOMPANHAMENTO!A:A,0))</f>
        <v>45901</v>
      </c>
      <c r="X597" s="11">
        <f t="shared" ca="1" si="9"/>
        <v>-32</v>
      </c>
    </row>
    <row r="598" spans="1:24" x14ac:dyDescent="0.3">
      <c r="A598" s="5">
        <v>640</v>
      </c>
      <c r="B598" s="21">
        <v>199</v>
      </c>
      <c r="C598" s="3" t="s">
        <v>497</v>
      </c>
      <c r="D598" s="4" t="s">
        <v>496</v>
      </c>
      <c r="E598" s="11" t="s">
        <v>2156</v>
      </c>
      <c r="F598" s="18" t="s">
        <v>1018</v>
      </c>
      <c r="G598" s="3" t="s">
        <v>209</v>
      </c>
      <c r="H598" s="4" t="s">
        <v>405</v>
      </c>
      <c r="K598" s="8" t="s">
        <v>1090</v>
      </c>
      <c r="S598" t="s">
        <v>1423</v>
      </c>
      <c r="T598" s="11" t="s">
        <v>1424</v>
      </c>
      <c r="U598" s="11" t="s">
        <v>3639</v>
      </c>
      <c r="V598" s="11" t="s">
        <v>3575</v>
      </c>
      <c r="W598" s="54">
        <f>INDEX([1]ACOMPANHAMENTO!H:H,MATCH(A598,[1]ACOMPANHAMENTO!A:A,0))</f>
        <v>45778</v>
      </c>
      <c r="X598" s="11">
        <f t="shared" ca="1" si="9"/>
        <v>-155</v>
      </c>
    </row>
    <row r="599" spans="1:24" x14ac:dyDescent="0.3">
      <c r="A599" s="5">
        <v>641</v>
      </c>
      <c r="B599" s="21">
        <v>130</v>
      </c>
      <c r="C599" s="3" t="s">
        <v>149</v>
      </c>
      <c r="D599" s="4" t="s">
        <v>176</v>
      </c>
      <c r="E599" s="11" t="s">
        <v>2156</v>
      </c>
      <c r="F599" s="18" t="s">
        <v>1019</v>
      </c>
      <c r="G599" s="3" t="s">
        <v>169</v>
      </c>
      <c r="H599" s="4" t="s">
        <v>385</v>
      </c>
      <c r="K599" s="8" t="s">
        <v>1052</v>
      </c>
      <c r="S599" t="s">
        <v>1332</v>
      </c>
      <c r="T599" s="11" t="s">
        <v>1331</v>
      </c>
      <c r="U599" t="s">
        <v>716</v>
      </c>
      <c r="V599" t="s">
        <v>3583</v>
      </c>
      <c r="W599" s="54">
        <f>INDEX([1]ACOMPANHAMENTO!H:H,MATCH(A599,[1]ACOMPANHAMENTO!A:A,0))</f>
        <v>45809</v>
      </c>
      <c r="X599" s="11">
        <f t="shared" ca="1" si="9"/>
        <v>-124</v>
      </c>
    </row>
    <row r="600" spans="1:24" x14ac:dyDescent="0.3">
      <c r="A600" s="5">
        <v>642</v>
      </c>
      <c r="B600" s="21">
        <v>173</v>
      </c>
      <c r="C600" s="3" t="s">
        <v>95</v>
      </c>
      <c r="D600" s="4" t="s">
        <v>351</v>
      </c>
      <c r="E600" s="11" t="s">
        <v>2827</v>
      </c>
      <c r="F600" s="18" t="s">
        <v>1020</v>
      </c>
      <c r="G600" s="3" t="s">
        <v>90</v>
      </c>
      <c r="H600" s="4" t="s">
        <v>348</v>
      </c>
      <c r="K600" s="8" t="s">
        <v>1099</v>
      </c>
      <c r="S600" t="s">
        <v>1351</v>
      </c>
      <c r="T600" s="11" t="s">
        <v>1352</v>
      </c>
      <c r="U600" s="11" t="s">
        <v>852</v>
      </c>
      <c r="V600" s="11" t="s">
        <v>3576</v>
      </c>
      <c r="W600" s="54">
        <f>INDEX([1]ACOMPANHAMENTO!H:H,MATCH(A600,[1]ACOMPANHAMENTO!A:A,0))</f>
        <v>45717</v>
      </c>
      <c r="X600" s="11">
        <f t="shared" ca="1" si="9"/>
        <v>-216</v>
      </c>
    </row>
    <row r="601" spans="1:24" x14ac:dyDescent="0.3">
      <c r="A601" s="5">
        <v>643</v>
      </c>
      <c r="B601" s="21">
        <v>196</v>
      </c>
      <c r="C601" s="3" t="s">
        <v>491</v>
      </c>
      <c r="D601" s="4" t="s">
        <v>490</v>
      </c>
      <c r="E601" s="11" t="s">
        <v>2156</v>
      </c>
      <c r="F601" s="18" t="s">
        <v>1021</v>
      </c>
      <c r="G601" s="3" t="s">
        <v>489</v>
      </c>
      <c r="H601" s="4" t="s">
        <v>488</v>
      </c>
      <c r="K601" s="8" t="s">
        <v>1090</v>
      </c>
      <c r="S601" t="s">
        <v>1410</v>
      </c>
      <c r="T601" s="11" t="s">
        <v>1411</v>
      </c>
      <c r="U601" s="11" t="s">
        <v>3658</v>
      </c>
      <c r="V601" s="11" t="s">
        <v>2523</v>
      </c>
      <c r="W601" s="54">
        <f>INDEX([1]ACOMPANHAMENTO!H:H,MATCH(A601,[1]ACOMPANHAMENTO!A:A,0))</f>
        <v>45809</v>
      </c>
      <c r="X601" s="11">
        <f t="shared" ca="1" si="9"/>
        <v>-124</v>
      </c>
    </row>
    <row r="602" spans="1:24" x14ac:dyDescent="0.3">
      <c r="A602" s="5">
        <v>644</v>
      </c>
      <c r="B602" s="21">
        <v>189</v>
      </c>
      <c r="C602" s="3" t="s">
        <v>246</v>
      </c>
      <c r="D602" s="4" t="s">
        <v>423</v>
      </c>
      <c r="E602" s="11" t="s">
        <v>2156</v>
      </c>
      <c r="F602" s="18" t="s">
        <v>1022</v>
      </c>
      <c r="G602" s="3" t="s">
        <v>216</v>
      </c>
      <c r="H602" s="4" t="s">
        <v>411</v>
      </c>
      <c r="K602" s="8" t="s">
        <v>1105</v>
      </c>
      <c r="S602" t="s">
        <v>1400</v>
      </c>
      <c r="T602" s="11" t="s">
        <v>1401</v>
      </c>
      <c r="U602" s="11" t="s">
        <v>816</v>
      </c>
      <c r="V602" s="11" t="s">
        <v>2385</v>
      </c>
      <c r="W602" s="54">
        <f>INDEX([1]ACOMPANHAMENTO!H:H,MATCH(A602,[1]ACOMPANHAMENTO!A:A,0))</f>
        <v>46174</v>
      </c>
      <c r="X602" s="11">
        <f t="shared" ca="1" si="9"/>
        <v>241</v>
      </c>
    </row>
    <row r="603" spans="1:24" x14ac:dyDescent="0.3">
      <c r="A603" s="5">
        <v>645</v>
      </c>
      <c r="B603" s="21">
        <v>7</v>
      </c>
      <c r="C603" s="3" t="s">
        <v>28</v>
      </c>
      <c r="D603" s="4" t="s">
        <v>308</v>
      </c>
      <c r="E603" s="11" t="s">
        <v>2827</v>
      </c>
      <c r="F603" s="18" t="s">
        <v>1023</v>
      </c>
      <c r="G603" s="3" t="s">
        <v>27</v>
      </c>
      <c r="H603" s="4" t="s">
        <v>307</v>
      </c>
      <c r="K603" s="8" t="s">
        <v>1052</v>
      </c>
      <c r="S603" t="s">
        <v>1163</v>
      </c>
      <c r="T603" s="11" t="s">
        <v>1487</v>
      </c>
      <c r="U603" s="11" t="s">
        <v>944</v>
      </c>
      <c r="V603" s="11" t="s">
        <v>2948</v>
      </c>
      <c r="W603" s="54">
        <f>INDEX([1]ACOMPANHAMENTO!H:H,MATCH(A603,[1]ACOMPANHAMENTO!A:A,0))</f>
        <v>45870</v>
      </c>
      <c r="X603" s="11">
        <f t="shared" ca="1" si="9"/>
        <v>-63</v>
      </c>
    </row>
    <row r="604" spans="1:24" x14ac:dyDescent="0.3">
      <c r="A604" s="5">
        <v>646</v>
      </c>
      <c r="B604" s="21">
        <v>8</v>
      </c>
      <c r="C604" s="5" t="s">
        <v>13</v>
      </c>
      <c r="D604" s="11" t="s">
        <v>299</v>
      </c>
      <c r="E604" s="11" t="s">
        <v>2827</v>
      </c>
      <c r="F604" s="20" t="s">
        <v>1024</v>
      </c>
      <c r="G604" s="5" t="s">
        <v>12</v>
      </c>
      <c r="H604" s="11" t="s">
        <v>298</v>
      </c>
      <c r="K604" s="8" t="s">
        <v>1052</v>
      </c>
      <c r="S604" t="s">
        <v>1143</v>
      </c>
      <c r="T604" s="11" t="s">
        <v>1142</v>
      </c>
      <c r="U604" s="11" t="s">
        <v>3589</v>
      </c>
      <c r="V604" s="11" t="s">
        <v>3268</v>
      </c>
      <c r="W604" s="54">
        <f>INDEX([1]ACOMPANHAMENTO!H:H,MATCH(A604,[1]ACOMPANHAMENTO!A:A,0))</f>
        <v>45717</v>
      </c>
      <c r="X604" s="11">
        <f t="shared" ca="1" si="9"/>
        <v>-216</v>
      </c>
    </row>
    <row r="605" spans="1:24" x14ac:dyDescent="0.3">
      <c r="A605" s="5">
        <v>647</v>
      </c>
      <c r="B605" s="21">
        <v>237</v>
      </c>
      <c r="C605" s="3" t="s">
        <v>151</v>
      </c>
      <c r="D605" s="4" t="s">
        <v>377</v>
      </c>
      <c r="E605" s="11" t="s">
        <v>2156</v>
      </c>
      <c r="F605" s="18" t="s">
        <v>1025</v>
      </c>
      <c r="G605" s="3" t="s">
        <v>235</v>
      </c>
      <c r="H605" s="4" t="s">
        <v>421</v>
      </c>
      <c r="K605" s="8" t="s">
        <v>1090</v>
      </c>
      <c r="S605" t="s">
        <v>1464</v>
      </c>
      <c r="T605" s="11" t="s">
        <v>1272</v>
      </c>
      <c r="U605" s="11" t="s">
        <v>3628</v>
      </c>
      <c r="V605" s="11" t="s">
        <v>2236</v>
      </c>
      <c r="W605" s="54">
        <f>INDEX([1]ACOMPANHAMENTO!H:H,MATCH(A605,[1]ACOMPANHAMENTO!A:A,0))</f>
        <v>45962</v>
      </c>
      <c r="X605" s="11">
        <f t="shared" ca="1" si="9"/>
        <v>29</v>
      </c>
    </row>
    <row r="606" spans="1:24" x14ac:dyDescent="0.3">
      <c r="A606" s="5">
        <v>648</v>
      </c>
      <c r="B606" s="21">
        <v>148</v>
      </c>
      <c r="C606" s="3" t="s">
        <v>193</v>
      </c>
      <c r="D606" s="4" t="s">
        <v>396</v>
      </c>
      <c r="E606" s="11" t="s">
        <v>2156</v>
      </c>
      <c r="F606" s="18" t="s">
        <v>1026</v>
      </c>
      <c r="G606" s="3" t="s">
        <v>192</v>
      </c>
      <c r="H606" s="4" t="s">
        <v>395</v>
      </c>
      <c r="K606" s="8" t="s">
        <v>1090</v>
      </c>
      <c r="S606" t="s">
        <v>1376</v>
      </c>
      <c r="T606" s="11" t="s">
        <v>1496</v>
      </c>
      <c r="U606" s="11" t="s">
        <v>667</v>
      </c>
      <c r="V606" s="11" t="s">
        <v>2457</v>
      </c>
      <c r="W606" s="54">
        <f>INDEX([1]ACOMPANHAMENTO!H:H,MATCH(A606,[1]ACOMPANHAMENTO!A:A,0))</f>
        <v>45809</v>
      </c>
      <c r="X606" s="11">
        <f t="shared" ca="1" si="9"/>
        <v>-124</v>
      </c>
    </row>
    <row r="607" spans="1:24" x14ac:dyDescent="0.3">
      <c r="A607" s="5">
        <v>649</v>
      </c>
      <c r="B607" s="21">
        <v>255</v>
      </c>
      <c r="C607" s="3" t="s">
        <v>248</v>
      </c>
      <c r="D607" s="4" t="s">
        <v>425</v>
      </c>
      <c r="E607" s="11" t="s">
        <v>3315</v>
      </c>
      <c r="F607" s="18" t="s">
        <v>1027</v>
      </c>
      <c r="G607" s="3" t="s">
        <v>247</v>
      </c>
      <c r="H607" s="4" t="s">
        <v>424</v>
      </c>
      <c r="K607" s="8" t="s">
        <v>1052</v>
      </c>
      <c r="S607" t="s">
        <v>1479</v>
      </c>
      <c r="T607" s="11" t="s">
        <v>1480</v>
      </c>
      <c r="U607" s="11" t="s">
        <v>3652</v>
      </c>
      <c r="V607" s="11" t="s">
        <v>3577</v>
      </c>
      <c r="W607" s="54">
        <f>INDEX([1]ACOMPANHAMENTO!H:H,MATCH(A607,[1]ACOMPANHAMENTO!A:A,0))</f>
        <v>45962</v>
      </c>
      <c r="X607" s="11">
        <f t="shared" ca="1" si="9"/>
        <v>29</v>
      </c>
    </row>
    <row r="608" spans="1:24" x14ac:dyDescent="0.3">
      <c r="A608" s="5">
        <v>650</v>
      </c>
      <c r="B608" s="21">
        <v>255</v>
      </c>
      <c r="C608" s="3" t="s">
        <v>248</v>
      </c>
      <c r="D608" s="4" t="s">
        <v>425</v>
      </c>
      <c r="E608" s="11" t="s">
        <v>3315</v>
      </c>
      <c r="F608" s="18" t="s">
        <v>1027</v>
      </c>
      <c r="G608" s="3" t="s">
        <v>247</v>
      </c>
      <c r="H608" s="4" t="s">
        <v>424</v>
      </c>
      <c r="K608" s="8" t="s">
        <v>1052</v>
      </c>
      <c r="S608" t="s">
        <v>1479</v>
      </c>
      <c r="T608" s="11" t="s">
        <v>1480</v>
      </c>
      <c r="U608" s="11" t="s">
        <v>3652</v>
      </c>
      <c r="V608" s="11" t="s">
        <v>3577</v>
      </c>
      <c r="W608" s="54">
        <f>INDEX([1]ACOMPANHAMENTO!H:H,MATCH(A608,[1]ACOMPANHAMENTO!A:A,0))</f>
        <v>45962</v>
      </c>
      <c r="X608" s="11">
        <f t="shared" ca="1" si="9"/>
        <v>29</v>
      </c>
    </row>
    <row r="609" spans="1:24" x14ac:dyDescent="0.3">
      <c r="A609" s="5">
        <v>651</v>
      </c>
      <c r="B609" s="21">
        <v>256</v>
      </c>
      <c r="C609" s="3" t="s">
        <v>219</v>
      </c>
      <c r="D609" s="4" t="s">
        <v>413</v>
      </c>
      <c r="E609" s="11" t="s">
        <v>2156</v>
      </c>
      <c r="F609" s="18" t="s">
        <v>1028</v>
      </c>
      <c r="G609" s="3" t="s">
        <v>249</v>
      </c>
      <c r="H609" s="4" t="s">
        <v>426</v>
      </c>
      <c r="K609" s="8" t="s">
        <v>1090</v>
      </c>
      <c r="S609" t="s">
        <v>1481</v>
      </c>
      <c r="T609" s="11" t="s">
        <v>1482</v>
      </c>
      <c r="U609" s="11" t="s">
        <v>3597</v>
      </c>
      <c r="V609" s="11" t="s">
        <v>2263</v>
      </c>
      <c r="W609" s="54">
        <f>INDEX([1]ACOMPANHAMENTO!H:H,MATCH(A609,[1]ACOMPANHAMENTO!A:A,0))</f>
        <v>45839</v>
      </c>
      <c r="X609" s="11">
        <f t="shared" ca="1" si="9"/>
        <v>-94</v>
      </c>
    </row>
    <row r="610" spans="1:24" x14ac:dyDescent="0.3">
      <c r="A610" s="5">
        <v>652</v>
      </c>
      <c r="B610" s="21">
        <v>257</v>
      </c>
      <c r="C610" s="3" t="s">
        <v>527</v>
      </c>
      <c r="D610" s="4" t="s">
        <v>526</v>
      </c>
      <c r="E610" s="11" t="s">
        <v>1510</v>
      </c>
      <c r="F610" s="18" t="s">
        <v>1029</v>
      </c>
      <c r="G610" s="3" t="s">
        <v>239</v>
      </c>
      <c r="H610" s="4" t="s">
        <v>281</v>
      </c>
      <c r="K610" s="8" t="s">
        <v>1121</v>
      </c>
      <c r="S610" t="s">
        <v>1483</v>
      </c>
      <c r="T610" s="11" t="s">
        <v>1484</v>
      </c>
      <c r="U610" s="11" t="s">
        <v>3664</v>
      </c>
      <c r="V610" s="11" t="s">
        <v>1750</v>
      </c>
      <c r="W610" s="54">
        <f>INDEX([1]ACOMPANHAMENTO!H:H,MATCH(A610,[1]ACOMPANHAMENTO!A:A,0))</f>
        <v>45901</v>
      </c>
      <c r="X610" s="11">
        <f t="shared" ca="1" si="9"/>
        <v>-32</v>
      </c>
    </row>
    <row r="611" spans="1:24" x14ac:dyDescent="0.3">
      <c r="A611" s="5">
        <v>653</v>
      </c>
      <c r="B611" s="21">
        <v>227</v>
      </c>
      <c r="C611" s="3" t="s">
        <v>203</v>
      </c>
      <c r="D611" s="4" t="s">
        <v>269</v>
      </c>
      <c r="E611" s="11" t="s">
        <v>3315</v>
      </c>
      <c r="F611" s="18" t="s">
        <v>1030</v>
      </c>
      <c r="G611" s="3" t="s">
        <v>231</v>
      </c>
      <c r="H611" s="4" t="s">
        <v>276</v>
      </c>
      <c r="K611" s="8" t="s">
        <v>1052</v>
      </c>
      <c r="S611" t="s">
        <v>1453</v>
      </c>
      <c r="T611" s="11" t="s">
        <v>1452</v>
      </c>
      <c r="U611" s="11" t="s">
        <v>3637</v>
      </c>
      <c r="V611" s="11" t="s">
        <v>3578</v>
      </c>
      <c r="W611" s="54">
        <f>INDEX([1]ACOMPANHAMENTO!H:H,MATCH(A611,[1]ACOMPANHAMENTO!A:A,0))</f>
        <v>45962</v>
      </c>
      <c r="X611" s="11">
        <f t="shared" ca="1" si="9"/>
        <v>29</v>
      </c>
    </row>
    <row r="612" spans="1:24" x14ac:dyDescent="0.3">
      <c r="A612" s="5">
        <v>654</v>
      </c>
      <c r="B612" s="21">
        <v>1</v>
      </c>
      <c r="C612" s="3" t="s">
        <v>2</v>
      </c>
      <c r="D612" s="4" t="s">
        <v>20</v>
      </c>
      <c r="E612" s="11" t="s">
        <v>2827</v>
      </c>
      <c r="F612" s="18" t="s">
        <v>1031</v>
      </c>
      <c r="G612" s="3" t="s">
        <v>1</v>
      </c>
      <c r="H612" s="4" t="s">
        <v>257</v>
      </c>
      <c r="K612" s="8" t="s">
        <v>1052</v>
      </c>
      <c r="S612" t="s">
        <v>1138</v>
      </c>
      <c r="T612" s="11" t="s">
        <v>1135</v>
      </c>
      <c r="U612" s="11" t="s">
        <v>704</v>
      </c>
      <c r="V612" s="11" t="s">
        <v>3191</v>
      </c>
      <c r="W612" s="54">
        <f>INDEX([1]ACOMPANHAMENTO!H:H,MATCH(A612,[1]ACOMPANHAMENTO!A:A,0))</f>
        <v>45809</v>
      </c>
      <c r="X612" s="11">
        <f t="shared" ca="1" si="9"/>
        <v>-124</v>
      </c>
    </row>
    <row r="613" spans="1:24" x14ac:dyDescent="0.3">
      <c r="A613" s="5">
        <v>655</v>
      </c>
      <c r="B613" s="21">
        <v>233</v>
      </c>
      <c r="C613" s="3" t="s">
        <v>211</v>
      </c>
      <c r="D613" s="4" t="s">
        <v>406</v>
      </c>
      <c r="E613" s="11" t="s">
        <v>2156</v>
      </c>
      <c r="F613" s="18" t="s">
        <v>1034</v>
      </c>
      <c r="G613" s="3" t="s">
        <v>209</v>
      </c>
      <c r="H613" s="4" t="s">
        <v>405</v>
      </c>
      <c r="K613" s="8" t="s">
        <v>1090</v>
      </c>
      <c r="S613" t="s">
        <v>1423</v>
      </c>
      <c r="T613" s="11" t="s">
        <v>1424</v>
      </c>
      <c r="U613" s="11" t="s">
        <v>3594</v>
      </c>
      <c r="V613" s="11" t="s">
        <v>2521</v>
      </c>
      <c r="W613" s="54">
        <f>INDEX([1]ACOMPANHAMENTO!H:H,MATCH(A613,[1]ACOMPANHAMENTO!A:A,0))</f>
        <v>45778</v>
      </c>
      <c r="X613" s="11">
        <f t="shared" ca="1" si="9"/>
        <v>-155</v>
      </c>
    </row>
    <row r="614" spans="1:24" x14ac:dyDescent="0.3">
      <c r="A614" s="5">
        <v>656</v>
      </c>
      <c r="B614" s="21">
        <v>124</v>
      </c>
      <c r="C614" s="3" t="s">
        <v>156</v>
      </c>
      <c r="D614" s="4" t="s">
        <v>379</v>
      </c>
      <c r="E614" s="11" t="s">
        <v>2548</v>
      </c>
      <c r="F614" s="18" t="s">
        <v>1032</v>
      </c>
      <c r="G614" s="3" t="s">
        <v>154</v>
      </c>
      <c r="H614" s="4" t="s">
        <v>155</v>
      </c>
      <c r="K614" s="8" t="s">
        <v>1091</v>
      </c>
      <c r="S614" t="s">
        <v>1339</v>
      </c>
      <c r="T614" s="11" t="s">
        <v>1272</v>
      </c>
      <c r="U614" s="11" t="s">
        <v>3629</v>
      </c>
      <c r="V614" s="11" t="s">
        <v>2561</v>
      </c>
      <c r="W614" s="54">
        <f>INDEX([1]ACOMPANHAMENTO!H:H,MATCH(A614,[1]ACOMPANHAMENTO!A:A,0))</f>
        <v>46023</v>
      </c>
      <c r="X614" s="11">
        <f t="shared" ca="1" si="9"/>
        <v>90</v>
      </c>
    </row>
    <row r="615" spans="1:24" x14ac:dyDescent="0.3">
      <c r="A615" s="5">
        <v>657</v>
      </c>
      <c r="B615" s="21">
        <v>127</v>
      </c>
      <c r="C615" s="3" t="s">
        <v>159</v>
      </c>
      <c r="D615" s="4" t="s">
        <v>160</v>
      </c>
      <c r="E615" s="11" t="s">
        <v>2156</v>
      </c>
      <c r="F615" s="18" t="s">
        <v>1041</v>
      </c>
      <c r="G615" s="3" t="s">
        <v>158</v>
      </c>
      <c r="H615" s="4" t="s">
        <v>380</v>
      </c>
      <c r="K615" s="8" t="s">
        <v>1090</v>
      </c>
      <c r="S615" t="s">
        <v>1326</v>
      </c>
      <c r="T615" s="11" t="s">
        <v>1320</v>
      </c>
      <c r="U615" t="s">
        <v>819</v>
      </c>
      <c r="V615" t="s">
        <v>3579</v>
      </c>
      <c r="W615" s="54">
        <f>INDEX([1]ACOMPANHAMENTO!H:H,MATCH(A615,[1]ACOMPANHAMENTO!A:A,0))</f>
        <v>45809</v>
      </c>
      <c r="X615" s="11">
        <f t="shared" ca="1" si="9"/>
        <v>-124</v>
      </c>
    </row>
    <row r="616" spans="1:24" x14ac:dyDescent="0.3">
      <c r="A616" s="5">
        <v>658</v>
      </c>
      <c r="B616" s="21">
        <v>177</v>
      </c>
      <c r="C616" s="3" t="s">
        <v>190</v>
      </c>
      <c r="D616" s="4" t="s">
        <v>264</v>
      </c>
      <c r="E616" s="11" t="s">
        <v>2156</v>
      </c>
      <c r="F616" s="18" t="s">
        <v>1042</v>
      </c>
      <c r="G616" s="3" t="s">
        <v>191</v>
      </c>
      <c r="H616" s="4" t="s">
        <v>1040</v>
      </c>
      <c r="K616" s="8" t="s">
        <v>1052</v>
      </c>
      <c r="S616" t="s">
        <v>1369</v>
      </c>
      <c r="T616" s="11" t="s">
        <v>1368</v>
      </c>
      <c r="U616" s="11" t="s">
        <v>3633</v>
      </c>
      <c r="V616" s="11" t="s">
        <v>2307</v>
      </c>
      <c r="W616" s="54">
        <f>INDEX([1]ACOMPANHAMENTO!H:H,MATCH(A616,[1]ACOMPANHAMENTO!A:A,0))</f>
        <v>45809</v>
      </c>
      <c r="X616" s="11">
        <f t="shared" ca="1" si="9"/>
        <v>-124</v>
      </c>
    </row>
    <row r="617" spans="1:24" x14ac:dyDescent="0.3">
      <c r="A617" s="5">
        <v>659</v>
      </c>
      <c r="B617" s="21">
        <v>180</v>
      </c>
      <c r="C617" s="3" t="s">
        <v>196</v>
      </c>
      <c r="D617" s="4" t="s">
        <v>487</v>
      </c>
      <c r="E617" s="11" t="s">
        <v>2156</v>
      </c>
      <c r="F617" s="18" t="s">
        <v>1043</v>
      </c>
      <c r="G617" s="3" t="s">
        <v>195</v>
      </c>
      <c r="H617" s="4" t="s">
        <v>397</v>
      </c>
      <c r="K617" s="8" t="s">
        <v>1052</v>
      </c>
      <c r="S617" t="s">
        <v>1385</v>
      </c>
      <c r="T617" s="11" t="s">
        <v>1384</v>
      </c>
      <c r="V617" s="11" t="s">
        <v>2413</v>
      </c>
      <c r="W617" s="54">
        <f>INDEX([1]ACOMPANHAMENTO!H:H,MATCH(A617,[1]ACOMPANHAMENTO!A:A,0))</f>
        <v>45809</v>
      </c>
      <c r="X617" s="11">
        <f t="shared" ca="1" si="9"/>
        <v>-124</v>
      </c>
    </row>
    <row r="618" spans="1:24" x14ac:dyDescent="0.3">
      <c r="A618" s="5">
        <v>660</v>
      </c>
      <c r="B618" s="21">
        <v>129</v>
      </c>
      <c r="C618" s="3" t="s">
        <v>163</v>
      </c>
      <c r="D618" s="4" t="s">
        <v>164</v>
      </c>
      <c r="E618" s="11" t="s">
        <v>2156</v>
      </c>
      <c r="F618" s="18" t="s">
        <v>1044</v>
      </c>
      <c r="G618" s="3" t="s">
        <v>161</v>
      </c>
      <c r="H618" s="4" t="s">
        <v>162</v>
      </c>
      <c r="K618" s="8" t="s">
        <v>1092</v>
      </c>
      <c r="S618" t="s">
        <v>1328</v>
      </c>
      <c r="T618" s="11" t="s">
        <v>1327</v>
      </c>
      <c r="U618" s="11" t="s">
        <v>906</v>
      </c>
      <c r="V618" s="11" t="s">
        <v>2195</v>
      </c>
      <c r="W618" s="54">
        <f>INDEX([1]ACOMPANHAMENTO!H:H,MATCH(A618,[1]ACOMPANHAMENTO!A:A,0))</f>
        <v>45809</v>
      </c>
      <c r="X618" s="11">
        <f t="shared" ca="1" si="9"/>
        <v>-124</v>
      </c>
    </row>
    <row r="619" spans="1:24" x14ac:dyDescent="0.3">
      <c r="A619" s="5">
        <v>661</v>
      </c>
      <c r="B619" s="21">
        <v>227</v>
      </c>
      <c r="C619" s="3" t="s">
        <v>203</v>
      </c>
      <c r="D619" s="4" t="s">
        <v>269</v>
      </c>
      <c r="E619" s="11" t="s">
        <v>3315</v>
      </c>
      <c r="F619" s="18" t="s">
        <v>1045</v>
      </c>
      <c r="G619" s="3" t="s">
        <v>231</v>
      </c>
      <c r="H619" s="4" t="s">
        <v>276</v>
      </c>
      <c r="K619" s="8" t="s">
        <v>1052</v>
      </c>
      <c r="S619" t="s">
        <v>1453</v>
      </c>
      <c r="T619" s="11" t="s">
        <v>1452</v>
      </c>
      <c r="U619" s="11" t="s">
        <v>3637</v>
      </c>
      <c r="V619" s="11" t="s">
        <v>3367</v>
      </c>
      <c r="W619" s="54">
        <f>INDEX([1]ACOMPANHAMENTO!H:H,MATCH(A619,[1]ACOMPANHAMENTO!A:A,0))</f>
        <v>45962</v>
      </c>
      <c r="X619" s="11">
        <f t="shared" ca="1" si="9"/>
        <v>29</v>
      </c>
    </row>
    <row r="620" spans="1:24" x14ac:dyDescent="0.3">
      <c r="A620" s="5">
        <v>664</v>
      </c>
      <c r="B620" s="21">
        <v>187</v>
      </c>
      <c r="C620" s="3" t="s">
        <v>198</v>
      </c>
      <c r="D620" s="4" t="s">
        <v>398</v>
      </c>
      <c r="E620" s="11" t="s">
        <v>2156</v>
      </c>
      <c r="F620" s="18" t="s">
        <v>1046</v>
      </c>
      <c r="G620" s="3" t="s">
        <v>197</v>
      </c>
      <c r="H620" s="4" t="s">
        <v>533</v>
      </c>
      <c r="K620" s="8" t="s">
        <v>1102</v>
      </c>
      <c r="S620" t="s">
        <v>1389</v>
      </c>
      <c r="T620" s="11" t="s">
        <v>1388</v>
      </c>
      <c r="U620" s="11" t="s">
        <v>3635</v>
      </c>
      <c r="V620" s="11" t="s">
        <v>2273</v>
      </c>
      <c r="W620" s="54">
        <f>INDEX([1]ACOMPANHAMENTO!H:H,MATCH(A620,[1]ACOMPANHAMENTO!A:A,0))</f>
        <v>45809</v>
      </c>
      <c r="X620" s="11">
        <f t="shared" ca="1" si="9"/>
        <v>-124</v>
      </c>
    </row>
    <row r="621" spans="1:24" x14ac:dyDescent="0.3">
      <c r="A621" s="5">
        <v>665</v>
      </c>
      <c r="B621" s="21">
        <v>30</v>
      </c>
      <c r="C621" s="3" t="s">
        <v>35</v>
      </c>
      <c r="D621" s="4" t="s">
        <v>311</v>
      </c>
      <c r="E621" s="11" t="s">
        <v>2548</v>
      </c>
      <c r="F621" s="18" t="s">
        <v>1047</v>
      </c>
      <c r="G621" s="3" t="s">
        <v>33</v>
      </c>
      <c r="H621" s="4" t="s">
        <v>34</v>
      </c>
      <c r="K621" s="8" t="s">
        <v>1060</v>
      </c>
      <c r="S621" t="s">
        <v>1173</v>
      </c>
      <c r="T621" s="11" t="s">
        <v>1485</v>
      </c>
      <c r="U621" s="11" t="s">
        <v>560</v>
      </c>
      <c r="V621" s="11" t="s">
        <v>2662</v>
      </c>
      <c r="W621" s="54">
        <f>INDEX([1]ACOMPANHAMENTO!H:H,MATCH(A621,[1]ACOMPANHAMENTO!A:A,0))</f>
        <v>45962</v>
      </c>
      <c r="X621" s="11">
        <f t="shared" ca="1" si="9"/>
        <v>29</v>
      </c>
    </row>
    <row r="622" spans="1:24" x14ac:dyDescent="0.3">
      <c r="A622" s="5">
        <v>666</v>
      </c>
      <c r="B622" s="21">
        <v>148</v>
      </c>
      <c r="C622" s="3" t="s">
        <v>193</v>
      </c>
      <c r="D622" t="s">
        <v>396</v>
      </c>
      <c r="E622" s="11" t="s">
        <v>2156</v>
      </c>
      <c r="F622" s="18" t="s">
        <v>821</v>
      </c>
      <c r="G622" s="3" t="s">
        <v>192</v>
      </c>
      <c r="H622" t="s">
        <v>395</v>
      </c>
      <c r="S622" t="s">
        <v>1500</v>
      </c>
      <c r="T622" s="11" t="s">
        <v>1501</v>
      </c>
      <c r="U622" s="11" t="s">
        <v>667</v>
      </c>
      <c r="V622" s="11" t="s">
        <v>2533</v>
      </c>
      <c r="W622" s="54">
        <f>INDEX([1]ACOMPANHAMENTO!H:H,MATCH(A622,[1]ACOMPANHAMENTO!A:A,0))</f>
        <v>45809</v>
      </c>
      <c r="X622" s="11">
        <f t="shared" ca="1" si="9"/>
        <v>-124</v>
      </c>
    </row>
    <row r="623" spans="1:24" x14ac:dyDescent="0.3">
      <c r="A623" s="5">
        <v>667</v>
      </c>
      <c r="B623" s="21">
        <v>163</v>
      </c>
      <c r="C623" s="3" t="s">
        <v>67</v>
      </c>
      <c r="D623" s="4" t="s">
        <v>333</v>
      </c>
      <c r="E623" s="11" t="s">
        <v>2827</v>
      </c>
      <c r="F623" s="18" t="s">
        <v>1499</v>
      </c>
      <c r="G623" s="3" t="s">
        <v>179</v>
      </c>
      <c r="H623" s="4" t="s">
        <v>258</v>
      </c>
      <c r="S623" t="s">
        <v>1502</v>
      </c>
      <c r="T623" s="11" t="s">
        <v>1503</v>
      </c>
      <c r="U623" s="11" t="s">
        <v>573</v>
      </c>
      <c r="V623" s="11" t="s">
        <v>2925</v>
      </c>
      <c r="W623" s="54">
        <f>INDEX([1]ACOMPANHAMENTO!H:H,MATCH(A623,[1]ACOMPANHAMENTO!A:A,0))</f>
        <v>45352</v>
      </c>
      <c r="X623" s="11">
        <f t="shared" ca="1" si="9"/>
        <v>-581</v>
      </c>
    </row>
    <row r="624" spans="1:24" x14ac:dyDescent="0.3">
      <c r="A624" s="5">
        <v>668</v>
      </c>
      <c r="B624" s="21">
        <v>177</v>
      </c>
      <c r="C624" s="3" t="s">
        <v>190</v>
      </c>
      <c r="D624" s="4" t="s">
        <v>264</v>
      </c>
      <c r="E624" s="11" t="s">
        <v>2156</v>
      </c>
      <c r="F624" s="18" t="s">
        <v>1497</v>
      </c>
      <c r="G624" s="3" t="s">
        <v>191</v>
      </c>
      <c r="H624" s="4" t="s">
        <v>1040</v>
      </c>
      <c r="S624" t="s">
        <v>1504</v>
      </c>
      <c r="T624" s="11" t="s">
        <v>1505</v>
      </c>
      <c r="U624" t="s">
        <v>3633</v>
      </c>
      <c r="V624" t="s">
        <v>3580</v>
      </c>
      <c r="W624" s="54">
        <f>INDEX([1]ACOMPANHAMENTO!H:H,MATCH(A624,[1]ACOMPANHAMENTO!A:A,0))</f>
        <v>45809</v>
      </c>
      <c r="X624" s="11">
        <f t="shared" ca="1" si="9"/>
        <v>-124</v>
      </c>
    </row>
    <row r="625" spans="1:24" x14ac:dyDescent="0.3">
      <c r="A625" s="5">
        <v>670</v>
      </c>
      <c r="B625" s="21">
        <v>149</v>
      </c>
      <c r="C625" s="3" t="s">
        <v>468</v>
      </c>
      <c r="D625" s="4" t="s">
        <v>467</v>
      </c>
      <c r="E625" s="11" t="s">
        <v>2156</v>
      </c>
      <c r="F625" s="18" t="s">
        <v>1498</v>
      </c>
      <c r="G625" s="3" t="s">
        <v>154</v>
      </c>
      <c r="H625" s="4" t="s">
        <v>155</v>
      </c>
      <c r="S625" t="s">
        <v>1507</v>
      </c>
      <c r="T625" s="11" t="s">
        <v>1506</v>
      </c>
      <c r="U625" s="11" t="s">
        <v>3655</v>
      </c>
      <c r="V625" s="11" t="s">
        <v>2226</v>
      </c>
      <c r="W625" s="54">
        <f>INDEX([1]ACOMPANHAMENTO!H:H,MATCH(A625,[1]ACOMPANHAMENTO!A:A,0))</f>
        <v>45839</v>
      </c>
      <c r="X625" s="11">
        <f t="shared" ca="1" si="9"/>
        <v>-94</v>
      </c>
    </row>
    <row r="631" spans="1:24" x14ac:dyDescent="0.3">
      <c r="C631" s="3"/>
      <c r="D631" s="4"/>
      <c r="G631" s="3"/>
      <c r="H631" s="4"/>
      <c r="K631" s="8"/>
    </row>
    <row r="632" spans="1:24" x14ac:dyDescent="0.3">
      <c r="C632" s="3"/>
      <c r="D632" s="4"/>
      <c r="G632" s="3"/>
      <c r="H632" s="4"/>
      <c r="K632" s="8"/>
      <c r="Q632" s="11"/>
    </row>
    <row r="633" spans="1:24" x14ac:dyDescent="0.3">
      <c r="C633" s="3"/>
      <c r="D633" s="4"/>
      <c r="G633" s="17"/>
      <c r="H633" s="4"/>
    </row>
  </sheetData>
  <phoneticPr fontId="6" type="noConversion"/>
  <conditionalFormatting sqref="X2:X625">
    <cfRule type="iconSet" priority="1">
      <iconSet>
        <cfvo type="percent" val="0"/>
        <cfvo type="num" val="-30"/>
        <cfvo type="num" val="0"/>
      </iconSet>
    </cfRule>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EDE0B-8706-4E21-A381-52BBFA68CB93}">
  <sheetPr codeName="Planilha1"/>
  <dimension ref="A1:B1916"/>
  <sheetViews>
    <sheetView topLeftCell="A1401" workbookViewId="0">
      <selection activeCell="C10" sqref="C10"/>
    </sheetView>
  </sheetViews>
  <sheetFormatPr defaultRowHeight="14.4" x14ac:dyDescent="0.3"/>
  <cols>
    <col min="1" max="1" width="10.5546875" customWidth="1"/>
    <col min="2" max="2" width="35.77734375" customWidth="1"/>
  </cols>
  <sheetData>
    <row r="1" spans="1:2" x14ac:dyDescent="0.3">
      <c r="A1" s="48" t="s">
        <v>1508</v>
      </c>
      <c r="B1" s="48" t="s">
        <v>1509</v>
      </c>
    </row>
    <row r="2" spans="1:2" x14ac:dyDescent="0.3">
      <c r="A2" t="s">
        <v>1510</v>
      </c>
      <c r="B2" t="s">
        <v>1511</v>
      </c>
    </row>
    <row r="3" spans="1:2" x14ac:dyDescent="0.3">
      <c r="A3" t="s">
        <v>1510</v>
      </c>
      <c r="B3" t="s">
        <v>1512</v>
      </c>
    </row>
    <row r="4" spans="1:2" x14ac:dyDescent="0.3">
      <c r="A4" t="s">
        <v>1510</v>
      </c>
      <c r="B4" t="s">
        <v>1513</v>
      </c>
    </row>
    <row r="5" spans="1:2" x14ac:dyDescent="0.3">
      <c r="A5" t="s">
        <v>1510</v>
      </c>
      <c r="B5" t="s">
        <v>1514</v>
      </c>
    </row>
    <row r="6" spans="1:2" x14ac:dyDescent="0.3">
      <c r="A6" t="s">
        <v>1510</v>
      </c>
      <c r="B6" t="s">
        <v>1515</v>
      </c>
    </row>
    <row r="7" spans="1:2" x14ac:dyDescent="0.3">
      <c r="A7" t="s">
        <v>1510</v>
      </c>
      <c r="B7" t="s">
        <v>1516</v>
      </c>
    </row>
    <row r="8" spans="1:2" x14ac:dyDescent="0.3">
      <c r="A8" t="s">
        <v>1510</v>
      </c>
      <c r="B8" t="s">
        <v>1517</v>
      </c>
    </row>
    <row r="9" spans="1:2" x14ac:dyDescent="0.3">
      <c r="A9" t="s">
        <v>1510</v>
      </c>
      <c r="B9" t="s">
        <v>1518</v>
      </c>
    </row>
    <row r="10" spans="1:2" x14ac:dyDescent="0.3">
      <c r="A10" t="s">
        <v>1510</v>
      </c>
      <c r="B10" t="s">
        <v>1519</v>
      </c>
    </row>
    <row r="11" spans="1:2" x14ac:dyDescent="0.3">
      <c r="A11" t="s">
        <v>1510</v>
      </c>
      <c r="B11" t="s">
        <v>1520</v>
      </c>
    </row>
    <row r="12" spans="1:2" x14ac:dyDescent="0.3">
      <c r="A12" t="s">
        <v>1510</v>
      </c>
      <c r="B12" t="s">
        <v>1521</v>
      </c>
    </row>
    <row r="13" spans="1:2" x14ac:dyDescent="0.3">
      <c r="A13" t="s">
        <v>1510</v>
      </c>
      <c r="B13" t="s">
        <v>1522</v>
      </c>
    </row>
    <row r="14" spans="1:2" x14ac:dyDescent="0.3">
      <c r="A14" t="s">
        <v>1510</v>
      </c>
      <c r="B14" t="s">
        <v>1523</v>
      </c>
    </row>
    <row r="15" spans="1:2" x14ac:dyDescent="0.3">
      <c r="A15" t="s">
        <v>1510</v>
      </c>
      <c r="B15" t="s">
        <v>1524</v>
      </c>
    </row>
    <row r="16" spans="1:2" x14ac:dyDescent="0.3">
      <c r="A16" t="s">
        <v>1510</v>
      </c>
      <c r="B16" t="s">
        <v>1525</v>
      </c>
    </row>
    <row r="17" spans="1:2" x14ac:dyDescent="0.3">
      <c r="A17" t="s">
        <v>1510</v>
      </c>
      <c r="B17" t="s">
        <v>1526</v>
      </c>
    </row>
    <row r="18" spans="1:2" x14ac:dyDescent="0.3">
      <c r="A18" t="s">
        <v>1510</v>
      </c>
      <c r="B18" t="s">
        <v>1527</v>
      </c>
    </row>
    <row r="19" spans="1:2" x14ac:dyDescent="0.3">
      <c r="A19" t="s">
        <v>1510</v>
      </c>
      <c r="B19" t="s">
        <v>1528</v>
      </c>
    </row>
    <row r="20" spans="1:2" x14ac:dyDescent="0.3">
      <c r="A20" t="s">
        <v>1510</v>
      </c>
      <c r="B20" t="s">
        <v>1529</v>
      </c>
    </row>
    <row r="21" spans="1:2" x14ac:dyDescent="0.3">
      <c r="A21" t="s">
        <v>1510</v>
      </c>
      <c r="B21" t="s">
        <v>1530</v>
      </c>
    </row>
    <row r="22" spans="1:2" x14ac:dyDescent="0.3">
      <c r="A22" t="s">
        <v>1510</v>
      </c>
      <c r="B22" t="s">
        <v>1531</v>
      </c>
    </row>
    <row r="23" spans="1:2" x14ac:dyDescent="0.3">
      <c r="A23" t="s">
        <v>1510</v>
      </c>
      <c r="B23" t="s">
        <v>1532</v>
      </c>
    </row>
    <row r="24" spans="1:2" x14ac:dyDescent="0.3">
      <c r="A24" t="s">
        <v>1510</v>
      </c>
      <c r="B24" t="s">
        <v>1533</v>
      </c>
    </row>
    <row r="25" spans="1:2" x14ac:dyDescent="0.3">
      <c r="A25" t="s">
        <v>1510</v>
      </c>
      <c r="B25" t="s">
        <v>1534</v>
      </c>
    </row>
    <row r="26" spans="1:2" x14ac:dyDescent="0.3">
      <c r="A26" t="s">
        <v>1510</v>
      </c>
      <c r="B26" t="s">
        <v>1535</v>
      </c>
    </row>
    <row r="27" spans="1:2" x14ac:dyDescent="0.3">
      <c r="A27" t="s">
        <v>1510</v>
      </c>
      <c r="B27" t="s">
        <v>1536</v>
      </c>
    </row>
    <row r="28" spans="1:2" x14ac:dyDescent="0.3">
      <c r="A28" t="s">
        <v>1510</v>
      </c>
      <c r="B28" t="s">
        <v>1537</v>
      </c>
    </row>
    <row r="29" spans="1:2" x14ac:dyDescent="0.3">
      <c r="A29" t="s">
        <v>1510</v>
      </c>
      <c r="B29" t="s">
        <v>1538</v>
      </c>
    </row>
    <row r="30" spans="1:2" x14ac:dyDescent="0.3">
      <c r="A30" t="s">
        <v>1510</v>
      </c>
      <c r="B30" t="s">
        <v>1539</v>
      </c>
    </row>
    <row r="31" spans="1:2" x14ac:dyDescent="0.3">
      <c r="A31" t="s">
        <v>1510</v>
      </c>
      <c r="B31" t="s">
        <v>1540</v>
      </c>
    </row>
    <row r="32" spans="1:2" x14ac:dyDescent="0.3">
      <c r="A32" t="s">
        <v>1510</v>
      </c>
      <c r="B32" t="s">
        <v>1541</v>
      </c>
    </row>
    <row r="33" spans="1:2" x14ac:dyDescent="0.3">
      <c r="A33" t="s">
        <v>1510</v>
      </c>
      <c r="B33" t="s">
        <v>1542</v>
      </c>
    </row>
    <row r="34" spans="1:2" x14ac:dyDescent="0.3">
      <c r="A34" t="s">
        <v>1510</v>
      </c>
      <c r="B34" t="s">
        <v>1543</v>
      </c>
    </row>
    <row r="35" spans="1:2" x14ac:dyDescent="0.3">
      <c r="A35" t="s">
        <v>1510</v>
      </c>
      <c r="B35" t="s">
        <v>1544</v>
      </c>
    </row>
    <row r="36" spans="1:2" x14ac:dyDescent="0.3">
      <c r="A36" t="s">
        <v>1510</v>
      </c>
      <c r="B36" t="s">
        <v>1545</v>
      </c>
    </row>
    <row r="37" spans="1:2" x14ac:dyDescent="0.3">
      <c r="A37" t="s">
        <v>1510</v>
      </c>
      <c r="B37" t="s">
        <v>1546</v>
      </c>
    </row>
    <row r="38" spans="1:2" x14ac:dyDescent="0.3">
      <c r="A38" t="s">
        <v>1510</v>
      </c>
      <c r="B38" t="s">
        <v>1547</v>
      </c>
    </row>
    <row r="39" spans="1:2" x14ac:dyDescent="0.3">
      <c r="A39" t="s">
        <v>1510</v>
      </c>
      <c r="B39" t="s">
        <v>1548</v>
      </c>
    </row>
    <row r="40" spans="1:2" x14ac:dyDescent="0.3">
      <c r="A40" t="s">
        <v>1510</v>
      </c>
      <c r="B40" t="s">
        <v>1549</v>
      </c>
    </row>
    <row r="41" spans="1:2" x14ac:dyDescent="0.3">
      <c r="A41" t="s">
        <v>1510</v>
      </c>
      <c r="B41" t="s">
        <v>1550</v>
      </c>
    </row>
    <row r="42" spans="1:2" x14ac:dyDescent="0.3">
      <c r="A42" t="s">
        <v>1510</v>
      </c>
      <c r="B42" t="s">
        <v>1551</v>
      </c>
    </row>
    <row r="43" spans="1:2" x14ac:dyDescent="0.3">
      <c r="A43" t="s">
        <v>1510</v>
      </c>
      <c r="B43" t="s">
        <v>1552</v>
      </c>
    </row>
    <row r="44" spans="1:2" x14ac:dyDescent="0.3">
      <c r="A44" t="s">
        <v>1510</v>
      </c>
      <c r="B44" t="s">
        <v>1553</v>
      </c>
    </row>
    <row r="45" spans="1:2" x14ac:dyDescent="0.3">
      <c r="A45" t="s">
        <v>1510</v>
      </c>
      <c r="B45" t="s">
        <v>1554</v>
      </c>
    </row>
    <row r="46" spans="1:2" x14ac:dyDescent="0.3">
      <c r="A46" t="s">
        <v>1510</v>
      </c>
      <c r="B46" t="s">
        <v>1555</v>
      </c>
    </row>
    <row r="47" spans="1:2" x14ac:dyDescent="0.3">
      <c r="A47" t="s">
        <v>1510</v>
      </c>
      <c r="B47" t="s">
        <v>1556</v>
      </c>
    </row>
    <row r="48" spans="1:2" x14ac:dyDescent="0.3">
      <c r="A48" t="s">
        <v>1510</v>
      </c>
      <c r="B48" t="s">
        <v>1557</v>
      </c>
    </row>
    <row r="49" spans="1:2" x14ac:dyDescent="0.3">
      <c r="A49" t="s">
        <v>1510</v>
      </c>
      <c r="B49" t="s">
        <v>1558</v>
      </c>
    </row>
    <row r="50" spans="1:2" x14ac:dyDescent="0.3">
      <c r="A50" t="s">
        <v>1510</v>
      </c>
      <c r="B50" t="s">
        <v>1559</v>
      </c>
    </row>
    <row r="51" spans="1:2" x14ac:dyDescent="0.3">
      <c r="A51" t="s">
        <v>1510</v>
      </c>
      <c r="B51" t="s">
        <v>1560</v>
      </c>
    </row>
    <row r="52" spans="1:2" x14ac:dyDescent="0.3">
      <c r="A52" t="s">
        <v>1510</v>
      </c>
      <c r="B52" t="s">
        <v>1561</v>
      </c>
    </row>
    <row r="53" spans="1:2" x14ac:dyDescent="0.3">
      <c r="A53" t="s">
        <v>1510</v>
      </c>
      <c r="B53" t="s">
        <v>1562</v>
      </c>
    </row>
    <row r="54" spans="1:2" x14ac:dyDescent="0.3">
      <c r="A54" t="s">
        <v>1510</v>
      </c>
      <c r="B54" t="s">
        <v>1563</v>
      </c>
    </row>
    <row r="55" spans="1:2" x14ac:dyDescent="0.3">
      <c r="A55" t="s">
        <v>1510</v>
      </c>
      <c r="B55" t="s">
        <v>1564</v>
      </c>
    </row>
    <row r="56" spans="1:2" x14ac:dyDescent="0.3">
      <c r="A56" t="s">
        <v>1510</v>
      </c>
      <c r="B56" t="s">
        <v>1565</v>
      </c>
    </row>
    <row r="57" spans="1:2" x14ac:dyDescent="0.3">
      <c r="A57" t="s">
        <v>1510</v>
      </c>
      <c r="B57" t="s">
        <v>1566</v>
      </c>
    </row>
    <row r="58" spans="1:2" x14ac:dyDescent="0.3">
      <c r="A58" t="s">
        <v>1510</v>
      </c>
      <c r="B58" t="s">
        <v>1567</v>
      </c>
    </row>
    <row r="59" spans="1:2" x14ac:dyDescent="0.3">
      <c r="A59" t="s">
        <v>1510</v>
      </c>
      <c r="B59" t="s">
        <v>1568</v>
      </c>
    </row>
    <row r="60" spans="1:2" x14ac:dyDescent="0.3">
      <c r="A60" t="s">
        <v>1510</v>
      </c>
      <c r="B60" t="s">
        <v>1569</v>
      </c>
    </row>
    <row r="61" spans="1:2" x14ac:dyDescent="0.3">
      <c r="A61" t="s">
        <v>1510</v>
      </c>
      <c r="B61" t="s">
        <v>1570</v>
      </c>
    </row>
    <row r="62" spans="1:2" x14ac:dyDescent="0.3">
      <c r="A62" t="s">
        <v>1510</v>
      </c>
      <c r="B62" t="s">
        <v>1571</v>
      </c>
    </row>
    <row r="63" spans="1:2" x14ac:dyDescent="0.3">
      <c r="A63" t="s">
        <v>1510</v>
      </c>
      <c r="B63" t="s">
        <v>1572</v>
      </c>
    </row>
    <row r="64" spans="1:2" x14ac:dyDescent="0.3">
      <c r="A64" t="s">
        <v>1510</v>
      </c>
      <c r="B64" t="s">
        <v>1573</v>
      </c>
    </row>
    <row r="65" spans="1:2" x14ac:dyDescent="0.3">
      <c r="A65" t="s">
        <v>1510</v>
      </c>
      <c r="B65" t="s">
        <v>1574</v>
      </c>
    </row>
    <row r="66" spans="1:2" x14ac:dyDescent="0.3">
      <c r="A66" t="s">
        <v>1510</v>
      </c>
      <c r="B66" t="s">
        <v>1575</v>
      </c>
    </row>
    <row r="67" spans="1:2" x14ac:dyDescent="0.3">
      <c r="A67" t="s">
        <v>1510</v>
      </c>
      <c r="B67" t="s">
        <v>1576</v>
      </c>
    </row>
    <row r="68" spans="1:2" x14ac:dyDescent="0.3">
      <c r="A68" t="s">
        <v>1510</v>
      </c>
      <c r="B68" t="s">
        <v>1577</v>
      </c>
    </row>
    <row r="69" spans="1:2" x14ac:dyDescent="0.3">
      <c r="A69" t="s">
        <v>1510</v>
      </c>
      <c r="B69" t="s">
        <v>1578</v>
      </c>
    </row>
    <row r="70" spans="1:2" x14ac:dyDescent="0.3">
      <c r="A70" t="s">
        <v>1510</v>
      </c>
      <c r="B70" t="s">
        <v>1579</v>
      </c>
    </row>
    <row r="71" spans="1:2" x14ac:dyDescent="0.3">
      <c r="A71" t="s">
        <v>1510</v>
      </c>
      <c r="B71" t="s">
        <v>1580</v>
      </c>
    </row>
    <row r="72" spans="1:2" x14ac:dyDescent="0.3">
      <c r="A72" t="s">
        <v>1510</v>
      </c>
      <c r="B72" t="s">
        <v>1581</v>
      </c>
    </row>
    <row r="73" spans="1:2" x14ac:dyDescent="0.3">
      <c r="A73" t="s">
        <v>1510</v>
      </c>
      <c r="B73" t="s">
        <v>1582</v>
      </c>
    </row>
    <row r="74" spans="1:2" x14ac:dyDescent="0.3">
      <c r="A74" t="s">
        <v>1510</v>
      </c>
      <c r="B74" t="s">
        <v>1583</v>
      </c>
    </row>
    <row r="75" spans="1:2" x14ac:dyDescent="0.3">
      <c r="A75" t="s">
        <v>1510</v>
      </c>
      <c r="B75" t="s">
        <v>1584</v>
      </c>
    </row>
    <row r="76" spans="1:2" x14ac:dyDescent="0.3">
      <c r="A76" t="s">
        <v>1510</v>
      </c>
      <c r="B76" t="s">
        <v>1585</v>
      </c>
    </row>
    <row r="77" spans="1:2" x14ac:dyDescent="0.3">
      <c r="A77" t="s">
        <v>1510</v>
      </c>
      <c r="B77" t="s">
        <v>1586</v>
      </c>
    </row>
    <row r="78" spans="1:2" x14ac:dyDescent="0.3">
      <c r="A78" t="s">
        <v>1510</v>
      </c>
      <c r="B78" t="s">
        <v>1587</v>
      </c>
    </row>
    <row r="79" spans="1:2" x14ac:dyDescent="0.3">
      <c r="A79" t="s">
        <v>1510</v>
      </c>
      <c r="B79" t="s">
        <v>1588</v>
      </c>
    </row>
    <row r="80" spans="1:2" x14ac:dyDescent="0.3">
      <c r="A80" t="s">
        <v>1510</v>
      </c>
      <c r="B80" t="s">
        <v>1589</v>
      </c>
    </row>
    <row r="81" spans="1:2" x14ac:dyDescent="0.3">
      <c r="A81" t="s">
        <v>1510</v>
      </c>
      <c r="B81" t="s">
        <v>1590</v>
      </c>
    </row>
    <row r="82" spans="1:2" x14ac:dyDescent="0.3">
      <c r="A82" t="s">
        <v>1510</v>
      </c>
      <c r="B82" t="s">
        <v>1591</v>
      </c>
    </row>
    <row r="83" spans="1:2" x14ac:dyDescent="0.3">
      <c r="A83" t="s">
        <v>1510</v>
      </c>
      <c r="B83" t="s">
        <v>1592</v>
      </c>
    </row>
    <row r="84" spans="1:2" x14ac:dyDescent="0.3">
      <c r="A84" t="s">
        <v>1510</v>
      </c>
      <c r="B84" t="s">
        <v>1593</v>
      </c>
    </row>
    <row r="85" spans="1:2" x14ac:dyDescent="0.3">
      <c r="A85" t="s">
        <v>1510</v>
      </c>
      <c r="B85" t="s">
        <v>1594</v>
      </c>
    </row>
    <row r="86" spans="1:2" x14ac:dyDescent="0.3">
      <c r="A86" t="s">
        <v>1510</v>
      </c>
      <c r="B86" t="s">
        <v>1595</v>
      </c>
    </row>
    <row r="87" spans="1:2" x14ac:dyDescent="0.3">
      <c r="A87" t="s">
        <v>1510</v>
      </c>
      <c r="B87" t="s">
        <v>1596</v>
      </c>
    </row>
    <row r="88" spans="1:2" x14ac:dyDescent="0.3">
      <c r="A88" t="s">
        <v>1510</v>
      </c>
      <c r="B88" t="s">
        <v>1597</v>
      </c>
    </row>
    <row r="89" spans="1:2" x14ac:dyDescent="0.3">
      <c r="A89" t="s">
        <v>1510</v>
      </c>
      <c r="B89" t="s">
        <v>1598</v>
      </c>
    </row>
    <row r="90" spans="1:2" x14ac:dyDescent="0.3">
      <c r="A90" t="s">
        <v>1510</v>
      </c>
      <c r="B90" t="s">
        <v>1599</v>
      </c>
    </row>
    <row r="91" spans="1:2" x14ac:dyDescent="0.3">
      <c r="A91" t="s">
        <v>1510</v>
      </c>
      <c r="B91" t="s">
        <v>1600</v>
      </c>
    </row>
    <row r="92" spans="1:2" x14ac:dyDescent="0.3">
      <c r="A92" t="s">
        <v>1510</v>
      </c>
      <c r="B92" t="s">
        <v>1601</v>
      </c>
    </row>
    <row r="93" spans="1:2" x14ac:dyDescent="0.3">
      <c r="A93" t="s">
        <v>1510</v>
      </c>
      <c r="B93" t="s">
        <v>1602</v>
      </c>
    </row>
    <row r="94" spans="1:2" x14ac:dyDescent="0.3">
      <c r="A94" t="s">
        <v>1510</v>
      </c>
      <c r="B94" t="s">
        <v>1603</v>
      </c>
    </row>
    <row r="95" spans="1:2" x14ac:dyDescent="0.3">
      <c r="A95" t="s">
        <v>1510</v>
      </c>
      <c r="B95" t="s">
        <v>1604</v>
      </c>
    </row>
    <row r="96" spans="1:2" x14ac:dyDescent="0.3">
      <c r="A96" t="s">
        <v>1510</v>
      </c>
      <c r="B96" t="s">
        <v>1605</v>
      </c>
    </row>
    <row r="97" spans="1:2" x14ac:dyDescent="0.3">
      <c r="A97" t="s">
        <v>1510</v>
      </c>
      <c r="B97" t="s">
        <v>1606</v>
      </c>
    </row>
    <row r="98" spans="1:2" x14ac:dyDescent="0.3">
      <c r="A98" t="s">
        <v>1510</v>
      </c>
      <c r="B98" t="s">
        <v>1607</v>
      </c>
    </row>
    <row r="99" spans="1:2" x14ac:dyDescent="0.3">
      <c r="A99" t="s">
        <v>1510</v>
      </c>
      <c r="B99" t="s">
        <v>1608</v>
      </c>
    </row>
    <row r="100" spans="1:2" x14ac:dyDescent="0.3">
      <c r="A100" t="s">
        <v>1510</v>
      </c>
      <c r="B100" t="s">
        <v>1609</v>
      </c>
    </row>
    <row r="101" spans="1:2" x14ac:dyDescent="0.3">
      <c r="A101" t="s">
        <v>1510</v>
      </c>
      <c r="B101" t="s">
        <v>1610</v>
      </c>
    </row>
    <row r="102" spans="1:2" x14ac:dyDescent="0.3">
      <c r="A102" t="s">
        <v>1510</v>
      </c>
      <c r="B102" t="s">
        <v>1611</v>
      </c>
    </row>
    <row r="103" spans="1:2" x14ac:dyDescent="0.3">
      <c r="A103" t="s">
        <v>1510</v>
      </c>
      <c r="B103" t="s">
        <v>1612</v>
      </c>
    </row>
    <row r="104" spans="1:2" x14ac:dyDescent="0.3">
      <c r="A104" t="s">
        <v>1510</v>
      </c>
      <c r="B104" t="s">
        <v>1613</v>
      </c>
    </row>
    <row r="105" spans="1:2" x14ac:dyDescent="0.3">
      <c r="A105" t="s">
        <v>1510</v>
      </c>
      <c r="B105" t="s">
        <v>1614</v>
      </c>
    </row>
    <row r="106" spans="1:2" x14ac:dyDescent="0.3">
      <c r="A106" t="s">
        <v>1510</v>
      </c>
      <c r="B106" t="s">
        <v>1615</v>
      </c>
    </row>
    <row r="107" spans="1:2" x14ac:dyDescent="0.3">
      <c r="A107" t="s">
        <v>1510</v>
      </c>
      <c r="B107" t="s">
        <v>1616</v>
      </c>
    </row>
    <row r="108" spans="1:2" x14ac:dyDescent="0.3">
      <c r="A108" t="s">
        <v>1510</v>
      </c>
      <c r="B108" t="s">
        <v>1617</v>
      </c>
    </row>
    <row r="109" spans="1:2" x14ac:dyDescent="0.3">
      <c r="A109" t="s">
        <v>1510</v>
      </c>
      <c r="B109" t="s">
        <v>1618</v>
      </c>
    </row>
    <row r="110" spans="1:2" x14ac:dyDescent="0.3">
      <c r="A110" t="s">
        <v>1510</v>
      </c>
      <c r="B110" t="s">
        <v>1619</v>
      </c>
    </row>
    <row r="111" spans="1:2" x14ac:dyDescent="0.3">
      <c r="A111" t="s">
        <v>1510</v>
      </c>
      <c r="B111" t="s">
        <v>1620</v>
      </c>
    </row>
    <row r="112" spans="1:2" x14ac:dyDescent="0.3">
      <c r="A112" t="s">
        <v>1510</v>
      </c>
      <c r="B112" t="s">
        <v>1621</v>
      </c>
    </row>
    <row r="113" spans="1:2" x14ac:dyDescent="0.3">
      <c r="A113" t="s">
        <v>1510</v>
      </c>
      <c r="B113" t="s">
        <v>1622</v>
      </c>
    </row>
    <row r="114" spans="1:2" x14ac:dyDescent="0.3">
      <c r="A114" t="s">
        <v>1510</v>
      </c>
      <c r="B114" t="s">
        <v>1623</v>
      </c>
    </row>
    <row r="115" spans="1:2" x14ac:dyDescent="0.3">
      <c r="A115" t="s">
        <v>1510</v>
      </c>
      <c r="B115" t="s">
        <v>1624</v>
      </c>
    </row>
    <row r="116" spans="1:2" x14ac:dyDescent="0.3">
      <c r="A116" t="s">
        <v>1510</v>
      </c>
      <c r="B116" t="s">
        <v>1625</v>
      </c>
    </row>
    <row r="117" spans="1:2" x14ac:dyDescent="0.3">
      <c r="A117" t="s">
        <v>1510</v>
      </c>
      <c r="B117" t="s">
        <v>1626</v>
      </c>
    </row>
    <row r="118" spans="1:2" x14ac:dyDescent="0.3">
      <c r="A118" t="s">
        <v>1510</v>
      </c>
      <c r="B118" t="s">
        <v>1627</v>
      </c>
    </row>
    <row r="119" spans="1:2" x14ac:dyDescent="0.3">
      <c r="A119" t="s">
        <v>1510</v>
      </c>
      <c r="B119" t="s">
        <v>1628</v>
      </c>
    </row>
    <row r="120" spans="1:2" x14ac:dyDescent="0.3">
      <c r="A120" t="s">
        <v>1510</v>
      </c>
      <c r="B120" t="s">
        <v>1629</v>
      </c>
    </row>
    <row r="121" spans="1:2" x14ac:dyDescent="0.3">
      <c r="A121" t="s">
        <v>1510</v>
      </c>
      <c r="B121" t="s">
        <v>1630</v>
      </c>
    </row>
    <row r="122" spans="1:2" x14ac:dyDescent="0.3">
      <c r="A122" t="s">
        <v>1510</v>
      </c>
      <c r="B122" t="s">
        <v>1631</v>
      </c>
    </row>
    <row r="123" spans="1:2" x14ac:dyDescent="0.3">
      <c r="A123" t="s">
        <v>1510</v>
      </c>
      <c r="B123" t="s">
        <v>1632</v>
      </c>
    </row>
    <row r="124" spans="1:2" x14ac:dyDescent="0.3">
      <c r="A124" t="s">
        <v>1510</v>
      </c>
      <c r="B124" t="s">
        <v>1633</v>
      </c>
    </row>
    <row r="125" spans="1:2" x14ac:dyDescent="0.3">
      <c r="A125" t="s">
        <v>1510</v>
      </c>
      <c r="B125" t="s">
        <v>1634</v>
      </c>
    </row>
    <row r="126" spans="1:2" x14ac:dyDescent="0.3">
      <c r="A126" t="s">
        <v>1510</v>
      </c>
      <c r="B126" t="s">
        <v>1635</v>
      </c>
    </row>
    <row r="127" spans="1:2" x14ac:dyDescent="0.3">
      <c r="A127" t="s">
        <v>1510</v>
      </c>
      <c r="B127" t="s">
        <v>1636</v>
      </c>
    </row>
    <row r="128" spans="1:2" x14ac:dyDescent="0.3">
      <c r="A128" t="s">
        <v>1510</v>
      </c>
      <c r="B128" t="s">
        <v>1637</v>
      </c>
    </row>
    <row r="129" spans="1:2" x14ac:dyDescent="0.3">
      <c r="A129" t="s">
        <v>1510</v>
      </c>
      <c r="B129" t="s">
        <v>1638</v>
      </c>
    </row>
    <row r="130" spans="1:2" x14ac:dyDescent="0.3">
      <c r="A130" t="s">
        <v>1510</v>
      </c>
      <c r="B130" t="s">
        <v>1639</v>
      </c>
    </row>
    <row r="131" spans="1:2" x14ac:dyDescent="0.3">
      <c r="A131" t="s">
        <v>1510</v>
      </c>
      <c r="B131" t="s">
        <v>1640</v>
      </c>
    </row>
    <row r="132" spans="1:2" x14ac:dyDescent="0.3">
      <c r="A132" t="s">
        <v>1510</v>
      </c>
      <c r="B132" t="s">
        <v>1641</v>
      </c>
    </row>
    <row r="133" spans="1:2" x14ac:dyDescent="0.3">
      <c r="A133" t="s">
        <v>1510</v>
      </c>
      <c r="B133" t="s">
        <v>1642</v>
      </c>
    </row>
    <row r="134" spans="1:2" x14ac:dyDescent="0.3">
      <c r="A134" t="s">
        <v>1510</v>
      </c>
      <c r="B134" t="s">
        <v>1643</v>
      </c>
    </row>
    <row r="135" spans="1:2" x14ac:dyDescent="0.3">
      <c r="A135" t="s">
        <v>1510</v>
      </c>
      <c r="B135" t="s">
        <v>1644</v>
      </c>
    </row>
    <row r="136" spans="1:2" x14ac:dyDescent="0.3">
      <c r="A136" t="s">
        <v>1510</v>
      </c>
      <c r="B136" t="s">
        <v>1645</v>
      </c>
    </row>
    <row r="137" spans="1:2" x14ac:dyDescent="0.3">
      <c r="A137" t="s">
        <v>1510</v>
      </c>
      <c r="B137" t="s">
        <v>1646</v>
      </c>
    </row>
    <row r="138" spans="1:2" x14ac:dyDescent="0.3">
      <c r="A138" t="s">
        <v>1510</v>
      </c>
      <c r="B138" t="s">
        <v>1647</v>
      </c>
    </row>
    <row r="139" spans="1:2" x14ac:dyDescent="0.3">
      <c r="A139" t="s">
        <v>1510</v>
      </c>
      <c r="B139" t="s">
        <v>1648</v>
      </c>
    </row>
    <row r="140" spans="1:2" x14ac:dyDescent="0.3">
      <c r="A140" t="s">
        <v>1510</v>
      </c>
      <c r="B140" t="s">
        <v>1649</v>
      </c>
    </row>
    <row r="141" spans="1:2" x14ac:dyDescent="0.3">
      <c r="A141" t="s">
        <v>1510</v>
      </c>
      <c r="B141" t="s">
        <v>1650</v>
      </c>
    </row>
    <row r="142" spans="1:2" x14ac:dyDescent="0.3">
      <c r="A142" t="s">
        <v>1510</v>
      </c>
      <c r="B142" t="s">
        <v>1651</v>
      </c>
    </row>
    <row r="143" spans="1:2" x14ac:dyDescent="0.3">
      <c r="A143" t="s">
        <v>1510</v>
      </c>
      <c r="B143" t="s">
        <v>1652</v>
      </c>
    </row>
    <row r="144" spans="1:2" x14ac:dyDescent="0.3">
      <c r="A144" t="s">
        <v>1510</v>
      </c>
      <c r="B144" t="s">
        <v>1653</v>
      </c>
    </row>
    <row r="145" spans="1:2" x14ac:dyDescent="0.3">
      <c r="A145" t="s">
        <v>1510</v>
      </c>
      <c r="B145" t="s">
        <v>1654</v>
      </c>
    </row>
    <row r="146" spans="1:2" x14ac:dyDescent="0.3">
      <c r="A146" t="s">
        <v>1510</v>
      </c>
      <c r="B146" t="s">
        <v>1655</v>
      </c>
    </row>
    <row r="147" spans="1:2" x14ac:dyDescent="0.3">
      <c r="A147" t="s">
        <v>1510</v>
      </c>
      <c r="B147" t="s">
        <v>1656</v>
      </c>
    </row>
    <row r="148" spans="1:2" x14ac:dyDescent="0.3">
      <c r="A148" t="s">
        <v>1510</v>
      </c>
      <c r="B148" t="s">
        <v>1657</v>
      </c>
    </row>
    <row r="149" spans="1:2" x14ac:dyDescent="0.3">
      <c r="A149" t="s">
        <v>1510</v>
      </c>
      <c r="B149" t="s">
        <v>1658</v>
      </c>
    </row>
    <row r="150" spans="1:2" x14ac:dyDescent="0.3">
      <c r="A150" t="s">
        <v>1510</v>
      </c>
      <c r="B150" t="s">
        <v>1659</v>
      </c>
    </row>
    <row r="151" spans="1:2" x14ac:dyDescent="0.3">
      <c r="A151" t="s">
        <v>1510</v>
      </c>
      <c r="B151" t="s">
        <v>1660</v>
      </c>
    </row>
    <row r="152" spans="1:2" x14ac:dyDescent="0.3">
      <c r="A152" t="s">
        <v>1510</v>
      </c>
      <c r="B152" t="s">
        <v>1661</v>
      </c>
    </row>
    <row r="153" spans="1:2" x14ac:dyDescent="0.3">
      <c r="A153" t="s">
        <v>1510</v>
      </c>
      <c r="B153" t="s">
        <v>1662</v>
      </c>
    </row>
    <row r="154" spans="1:2" x14ac:dyDescent="0.3">
      <c r="A154" t="s">
        <v>1510</v>
      </c>
      <c r="B154" t="s">
        <v>1663</v>
      </c>
    </row>
    <row r="155" spans="1:2" x14ac:dyDescent="0.3">
      <c r="A155" t="s">
        <v>1510</v>
      </c>
      <c r="B155" t="s">
        <v>1664</v>
      </c>
    </row>
    <row r="156" spans="1:2" x14ac:dyDescent="0.3">
      <c r="A156" t="s">
        <v>1510</v>
      </c>
      <c r="B156" t="s">
        <v>1665</v>
      </c>
    </row>
    <row r="157" spans="1:2" x14ac:dyDescent="0.3">
      <c r="A157" t="s">
        <v>1510</v>
      </c>
      <c r="B157" t="s">
        <v>1666</v>
      </c>
    </row>
    <row r="158" spans="1:2" x14ac:dyDescent="0.3">
      <c r="A158" t="s">
        <v>1510</v>
      </c>
      <c r="B158" t="s">
        <v>1667</v>
      </c>
    </row>
    <row r="159" spans="1:2" x14ac:dyDescent="0.3">
      <c r="A159" t="s">
        <v>1510</v>
      </c>
      <c r="B159" t="s">
        <v>1668</v>
      </c>
    </row>
    <row r="160" spans="1:2" x14ac:dyDescent="0.3">
      <c r="A160" t="s">
        <v>1510</v>
      </c>
      <c r="B160" t="s">
        <v>1669</v>
      </c>
    </row>
    <row r="161" spans="1:2" x14ac:dyDescent="0.3">
      <c r="A161" t="s">
        <v>1510</v>
      </c>
      <c r="B161" t="s">
        <v>1670</v>
      </c>
    </row>
    <row r="162" spans="1:2" x14ac:dyDescent="0.3">
      <c r="A162" t="s">
        <v>1510</v>
      </c>
      <c r="B162" t="s">
        <v>1671</v>
      </c>
    </row>
    <row r="163" spans="1:2" x14ac:dyDescent="0.3">
      <c r="A163" t="s">
        <v>1510</v>
      </c>
      <c r="B163" t="s">
        <v>1672</v>
      </c>
    </row>
    <row r="164" spans="1:2" x14ac:dyDescent="0.3">
      <c r="A164" t="s">
        <v>1510</v>
      </c>
      <c r="B164" t="s">
        <v>1673</v>
      </c>
    </row>
    <row r="165" spans="1:2" x14ac:dyDescent="0.3">
      <c r="A165" t="s">
        <v>1510</v>
      </c>
      <c r="B165" t="s">
        <v>1674</v>
      </c>
    </row>
    <row r="166" spans="1:2" x14ac:dyDescent="0.3">
      <c r="A166" t="s">
        <v>1510</v>
      </c>
      <c r="B166" t="s">
        <v>1675</v>
      </c>
    </row>
    <row r="167" spans="1:2" x14ac:dyDescent="0.3">
      <c r="A167" t="s">
        <v>1510</v>
      </c>
      <c r="B167" t="s">
        <v>1676</v>
      </c>
    </row>
    <row r="168" spans="1:2" x14ac:dyDescent="0.3">
      <c r="A168" t="s">
        <v>1510</v>
      </c>
      <c r="B168" t="s">
        <v>1677</v>
      </c>
    </row>
    <row r="169" spans="1:2" x14ac:dyDescent="0.3">
      <c r="A169" t="s">
        <v>1510</v>
      </c>
      <c r="B169" t="s">
        <v>1678</v>
      </c>
    </row>
    <row r="170" spans="1:2" x14ac:dyDescent="0.3">
      <c r="A170" t="s">
        <v>1510</v>
      </c>
      <c r="B170" t="s">
        <v>1679</v>
      </c>
    </row>
    <row r="171" spans="1:2" x14ac:dyDescent="0.3">
      <c r="A171" t="s">
        <v>1510</v>
      </c>
      <c r="B171" t="s">
        <v>1680</v>
      </c>
    </row>
    <row r="172" spans="1:2" x14ac:dyDescent="0.3">
      <c r="A172" t="s">
        <v>1510</v>
      </c>
      <c r="B172" t="s">
        <v>1681</v>
      </c>
    </row>
    <row r="173" spans="1:2" x14ac:dyDescent="0.3">
      <c r="A173" t="s">
        <v>1510</v>
      </c>
      <c r="B173" t="s">
        <v>1682</v>
      </c>
    </row>
    <row r="174" spans="1:2" x14ac:dyDescent="0.3">
      <c r="A174" t="s">
        <v>1510</v>
      </c>
      <c r="B174" t="s">
        <v>1683</v>
      </c>
    </row>
    <row r="175" spans="1:2" x14ac:dyDescent="0.3">
      <c r="A175" t="s">
        <v>1510</v>
      </c>
      <c r="B175" t="s">
        <v>1684</v>
      </c>
    </row>
    <row r="176" spans="1:2" x14ac:dyDescent="0.3">
      <c r="A176" t="s">
        <v>1510</v>
      </c>
      <c r="B176" t="s">
        <v>1685</v>
      </c>
    </row>
    <row r="177" spans="1:2" x14ac:dyDescent="0.3">
      <c r="A177" t="s">
        <v>1510</v>
      </c>
      <c r="B177" t="s">
        <v>1686</v>
      </c>
    </row>
    <row r="178" spans="1:2" x14ac:dyDescent="0.3">
      <c r="A178" t="s">
        <v>1510</v>
      </c>
      <c r="B178" t="s">
        <v>1687</v>
      </c>
    </row>
    <row r="179" spans="1:2" x14ac:dyDescent="0.3">
      <c r="A179" t="s">
        <v>1510</v>
      </c>
      <c r="B179" t="s">
        <v>1688</v>
      </c>
    </row>
    <row r="180" spans="1:2" x14ac:dyDescent="0.3">
      <c r="A180" t="s">
        <v>1510</v>
      </c>
      <c r="B180" t="s">
        <v>1689</v>
      </c>
    </row>
    <row r="181" spans="1:2" x14ac:dyDescent="0.3">
      <c r="A181" t="s">
        <v>1510</v>
      </c>
      <c r="B181" t="s">
        <v>1690</v>
      </c>
    </row>
    <row r="182" spans="1:2" x14ac:dyDescent="0.3">
      <c r="A182" t="s">
        <v>1510</v>
      </c>
      <c r="B182" t="s">
        <v>1691</v>
      </c>
    </row>
    <row r="183" spans="1:2" x14ac:dyDescent="0.3">
      <c r="A183" t="s">
        <v>1510</v>
      </c>
      <c r="B183" t="s">
        <v>1692</v>
      </c>
    </row>
    <row r="184" spans="1:2" x14ac:dyDescent="0.3">
      <c r="A184" t="s">
        <v>1510</v>
      </c>
      <c r="B184" t="s">
        <v>1693</v>
      </c>
    </row>
    <row r="185" spans="1:2" x14ac:dyDescent="0.3">
      <c r="A185" t="s">
        <v>1510</v>
      </c>
      <c r="B185" t="s">
        <v>1694</v>
      </c>
    </row>
    <row r="186" spans="1:2" x14ac:dyDescent="0.3">
      <c r="A186" t="s">
        <v>1510</v>
      </c>
      <c r="B186" t="s">
        <v>1695</v>
      </c>
    </row>
    <row r="187" spans="1:2" x14ac:dyDescent="0.3">
      <c r="A187" t="s">
        <v>1510</v>
      </c>
      <c r="B187" t="s">
        <v>1696</v>
      </c>
    </row>
    <row r="188" spans="1:2" x14ac:dyDescent="0.3">
      <c r="A188" t="s">
        <v>1510</v>
      </c>
      <c r="B188" t="s">
        <v>1697</v>
      </c>
    </row>
    <row r="189" spans="1:2" x14ac:dyDescent="0.3">
      <c r="A189" t="s">
        <v>1510</v>
      </c>
      <c r="B189" t="s">
        <v>1698</v>
      </c>
    </row>
    <row r="190" spans="1:2" x14ac:dyDescent="0.3">
      <c r="A190" t="s">
        <v>1510</v>
      </c>
      <c r="B190" t="s">
        <v>1699</v>
      </c>
    </row>
    <row r="191" spans="1:2" x14ac:dyDescent="0.3">
      <c r="A191" t="s">
        <v>1510</v>
      </c>
      <c r="B191" t="s">
        <v>1700</v>
      </c>
    </row>
    <row r="192" spans="1:2" x14ac:dyDescent="0.3">
      <c r="A192" t="s">
        <v>1510</v>
      </c>
      <c r="B192" t="s">
        <v>1701</v>
      </c>
    </row>
    <row r="193" spans="1:2" x14ac:dyDescent="0.3">
      <c r="A193" t="s">
        <v>1510</v>
      </c>
      <c r="B193" t="s">
        <v>1702</v>
      </c>
    </row>
    <row r="194" spans="1:2" x14ac:dyDescent="0.3">
      <c r="A194" t="s">
        <v>1510</v>
      </c>
      <c r="B194" t="s">
        <v>1703</v>
      </c>
    </row>
    <row r="195" spans="1:2" x14ac:dyDescent="0.3">
      <c r="A195" t="s">
        <v>1510</v>
      </c>
      <c r="B195" t="s">
        <v>1704</v>
      </c>
    </row>
    <row r="196" spans="1:2" x14ac:dyDescent="0.3">
      <c r="A196" t="s">
        <v>1510</v>
      </c>
      <c r="B196" t="s">
        <v>1705</v>
      </c>
    </row>
    <row r="197" spans="1:2" x14ac:dyDescent="0.3">
      <c r="A197" t="s">
        <v>1510</v>
      </c>
      <c r="B197" t="s">
        <v>1706</v>
      </c>
    </row>
    <row r="198" spans="1:2" x14ac:dyDescent="0.3">
      <c r="A198" t="s">
        <v>1510</v>
      </c>
      <c r="B198" t="s">
        <v>1707</v>
      </c>
    </row>
    <row r="199" spans="1:2" x14ac:dyDescent="0.3">
      <c r="A199" t="s">
        <v>1510</v>
      </c>
      <c r="B199" t="s">
        <v>1708</v>
      </c>
    </row>
    <row r="200" spans="1:2" x14ac:dyDescent="0.3">
      <c r="A200" t="s">
        <v>1510</v>
      </c>
      <c r="B200" t="s">
        <v>1709</v>
      </c>
    </row>
    <row r="201" spans="1:2" x14ac:dyDescent="0.3">
      <c r="A201" t="s">
        <v>1510</v>
      </c>
      <c r="B201" t="s">
        <v>1710</v>
      </c>
    </row>
    <row r="202" spans="1:2" x14ac:dyDescent="0.3">
      <c r="A202" t="s">
        <v>1510</v>
      </c>
      <c r="B202" t="s">
        <v>1711</v>
      </c>
    </row>
    <row r="203" spans="1:2" x14ac:dyDescent="0.3">
      <c r="A203" t="s">
        <v>1510</v>
      </c>
      <c r="B203" t="s">
        <v>1712</v>
      </c>
    </row>
    <row r="204" spans="1:2" x14ac:dyDescent="0.3">
      <c r="A204" t="s">
        <v>1510</v>
      </c>
      <c r="B204" t="s">
        <v>1713</v>
      </c>
    </row>
    <row r="205" spans="1:2" x14ac:dyDescent="0.3">
      <c r="A205" t="s">
        <v>1510</v>
      </c>
      <c r="B205" t="s">
        <v>1714</v>
      </c>
    </row>
    <row r="206" spans="1:2" x14ac:dyDescent="0.3">
      <c r="A206" t="s">
        <v>1510</v>
      </c>
      <c r="B206" t="s">
        <v>1715</v>
      </c>
    </row>
    <row r="207" spans="1:2" x14ac:dyDescent="0.3">
      <c r="A207" t="s">
        <v>1510</v>
      </c>
      <c r="B207" t="s">
        <v>1716</v>
      </c>
    </row>
    <row r="208" spans="1:2" x14ac:dyDescent="0.3">
      <c r="A208" t="s">
        <v>1510</v>
      </c>
      <c r="B208" t="s">
        <v>1717</v>
      </c>
    </row>
    <row r="209" spans="1:2" x14ac:dyDescent="0.3">
      <c r="A209" t="s">
        <v>1510</v>
      </c>
      <c r="B209" t="s">
        <v>1718</v>
      </c>
    </row>
    <row r="210" spans="1:2" x14ac:dyDescent="0.3">
      <c r="A210" t="s">
        <v>1510</v>
      </c>
      <c r="B210" t="s">
        <v>1719</v>
      </c>
    </row>
    <row r="211" spans="1:2" x14ac:dyDescent="0.3">
      <c r="A211" t="s">
        <v>1510</v>
      </c>
      <c r="B211" t="s">
        <v>1720</v>
      </c>
    </row>
    <row r="212" spans="1:2" x14ac:dyDescent="0.3">
      <c r="A212" t="s">
        <v>1510</v>
      </c>
      <c r="B212" t="s">
        <v>1721</v>
      </c>
    </row>
    <row r="213" spans="1:2" x14ac:dyDescent="0.3">
      <c r="A213" t="s">
        <v>1510</v>
      </c>
      <c r="B213" t="s">
        <v>1722</v>
      </c>
    </row>
    <row r="214" spans="1:2" x14ac:dyDescent="0.3">
      <c r="A214" t="s">
        <v>1510</v>
      </c>
      <c r="B214" t="s">
        <v>1723</v>
      </c>
    </row>
    <row r="215" spans="1:2" x14ac:dyDescent="0.3">
      <c r="A215" t="s">
        <v>1510</v>
      </c>
      <c r="B215" t="s">
        <v>1724</v>
      </c>
    </row>
    <row r="216" spans="1:2" x14ac:dyDescent="0.3">
      <c r="A216" t="s">
        <v>1510</v>
      </c>
      <c r="B216" t="s">
        <v>1725</v>
      </c>
    </row>
    <row r="217" spans="1:2" x14ac:dyDescent="0.3">
      <c r="A217" t="s">
        <v>1510</v>
      </c>
      <c r="B217" t="s">
        <v>1726</v>
      </c>
    </row>
    <row r="218" spans="1:2" x14ac:dyDescent="0.3">
      <c r="A218" t="s">
        <v>1510</v>
      </c>
      <c r="B218" t="s">
        <v>1727</v>
      </c>
    </row>
    <row r="219" spans="1:2" x14ac:dyDescent="0.3">
      <c r="A219" t="s">
        <v>1510</v>
      </c>
      <c r="B219" t="s">
        <v>1728</v>
      </c>
    </row>
    <row r="220" spans="1:2" x14ac:dyDescent="0.3">
      <c r="A220" t="s">
        <v>1510</v>
      </c>
      <c r="B220" t="s">
        <v>1729</v>
      </c>
    </row>
    <row r="221" spans="1:2" x14ac:dyDescent="0.3">
      <c r="A221" t="s">
        <v>1510</v>
      </c>
      <c r="B221" t="s">
        <v>1730</v>
      </c>
    </row>
    <row r="222" spans="1:2" x14ac:dyDescent="0.3">
      <c r="A222" t="s">
        <v>1510</v>
      </c>
      <c r="B222" t="s">
        <v>1731</v>
      </c>
    </row>
    <row r="223" spans="1:2" x14ac:dyDescent="0.3">
      <c r="A223" t="s">
        <v>1510</v>
      </c>
      <c r="B223" t="s">
        <v>1732</v>
      </c>
    </row>
    <row r="224" spans="1:2" x14ac:dyDescent="0.3">
      <c r="A224" t="s">
        <v>1510</v>
      </c>
      <c r="B224" t="s">
        <v>1733</v>
      </c>
    </row>
    <row r="225" spans="1:2" x14ac:dyDescent="0.3">
      <c r="A225" t="s">
        <v>1510</v>
      </c>
      <c r="B225" t="s">
        <v>1734</v>
      </c>
    </row>
    <row r="226" spans="1:2" x14ac:dyDescent="0.3">
      <c r="A226" t="s">
        <v>1510</v>
      </c>
      <c r="B226" t="s">
        <v>1735</v>
      </c>
    </row>
    <row r="227" spans="1:2" x14ac:dyDescent="0.3">
      <c r="A227" t="s">
        <v>1510</v>
      </c>
      <c r="B227" t="s">
        <v>1736</v>
      </c>
    </row>
    <row r="228" spans="1:2" x14ac:dyDescent="0.3">
      <c r="A228" t="s">
        <v>1510</v>
      </c>
      <c r="B228" t="s">
        <v>1737</v>
      </c>
    </row>
    <row r="229" spans="1:2" x14ac:dyDescent="0.3">
      <c r="A229" t="s">
        <v>1510</v>
      </c>
      <c r="B229" t="s">
        <v>1738</v>
      </c>
    </row>
    <row r="230" spans="1:2" x14ac:dyDescent="0.3">
      <c r="A230" t="s">
        <v>1510</v>
      </c>
      <c r="B230" t="s">
        <v>1739</v>
      </c>
    </row>
    <row r="231" spans="1:2" x14ac:dyDescent="0.3">
      <c r="A231" t="s">
        <v>1510</v>
      </c>
      <c r="B231" t="s">
        <v>1740</v>
      </c>
    </row>
    <row r="232" spans="1:2" x14ac:dyDescent="0.3">
      <c r="A232" t="s">
        <v>1510</v>
      </c>
      <c r="B232" t="s">
        <v>1741</v>
      </c>
    </row>
    <row r="233" spans="1:2" x14ac:dyDescent="0.3">
      <c r="A233" t="s">
        <v>1510</v>
      </c>
      <c r="B233" t="s">
        <v>1742</v>
      </c>
    </row>
    <row r="234" spans="1:2" x14ac:dyDescent="0.3">
      <c r="A234" t="s">
        <v>1510</v>
      </c>
      <c r="B234" t="s">
        <v>1743</v>
      </c>
    </row>
    <row r="235" spans="1:2" x14ac:dyDescent="0.3">
      <c r="A235" t="s">
        <v>1510</v>
      </c>
      <c r="B235" t="s">
        <v>1744</v>
      </c>
    </row>
    <row r="236" spans="1:2" x14ac:dyDescent="0.3">
      <c r="A236" t="s">
        <v>1510</v>
      </c>
      <c r="B236" t="s">
        <v>1745</v>
      </c>
    </row>
    <row r="237" spans="1:2" x14ac:dyDescent="0.3">
      <c r="A237" t="s">
        <v>1510</v>
      </c>
      <c r="B237" t="s">
        <v>1746</v>
      </c>
    </row>
    <row r="238" spans="1:2" x14ac:dyDescent="0.3">
      <c r="A238" t="s">
        <v>1510</v>
      </c>
      <c r="B238" t="s">
        <v>1747</v>
      </c>
    </row>
    <row r="239" spans="1:2" x14ac:dyDescent="0.3">
      <c r="A239" t="s">
        <v>1510</v>
      </c>
      <c r="B239" t="s">
        <v>1748</v>
      </c>
    </row>
    <row r="240" spans="1:2" x14ac:dyDescent="0.3">
      <c r="A240" t="s">
        <v>1510</v>
      </c>
      <c r="B240" t="s">
        <v>1749</v>
      </c>
    </row>
    <row r="241" spans="1:2" x14ac:dyDescent="0.3">
      <c r="A241" t="s">
        <v>1510</v>
      </c>
      <c r="B241" t="s">
        <v>1750</v>
      </c>
    </row>
    <row r="242" spans="1:2" x14ac:dyDescent="0.3">
      <c r="A242" t="s">
        <v>1510</v>
      </c>
      <c r="B242" t="s">
        <v>1751</v>
      </c>
    </row>
    <row r="243" spans="1:2" x14ac:dyDescent="0.3">
      <c r="A243" t="s">
        <v>1510</v>
      </c>
      <c r="B243" t="s">
        <v>1752</v>
      </c>
    </row>
    <row r="244" spans="1:2" x14ac:dyDescent="0.3">
      <c r="A244" t="s">
        <v>1510</v>
      </c>
      <c r="B244" t="s">
        <v>1753</v>
      </c>
    </row>
    <row r="245" spans="1:2" x14ac:dyDescent="0.3">
      <c r="A245" t="s">
        <v>1510</v>
      </c>
      <c r="B245" t="s">
        <v>1754</v>
      </c>
    </row>
    <row r="246" spans="1:2" x14ac:dyDescent="0.3">
      <c r="A246" t="s">
        <v>1510</v>
      </c>
      <c r="B246" t="s">
        <v>1755</v>
      </c>
    </row>
    <row r="247" spans="1:2" x14ac:dyDescent="0.3">
      <c r="A247" t="s">
        <v>1510</v>
      </c>
      <c r="B247" t="s">
        <v>1756</v>
      </c>
    </row>
    <row r="248" spans="1:2" x14ac:dyDescent="0.3">
      <c r="A248" t="s">
        <v>1510</v>
      </c>
      <c r="B248" t="s">
        <v>1757</v>
      </c>
    </row>
    <row r="249" spans="1:2" x14ac:dyDescent="0.3">
      <c r="A249" t="s">
        <v>1510</v>
      </c>
      <c r="B249" t="s">
        <v>1758</v>
      </c>
    </row>
    <row r="250" spans="1:2" x14ac:dyDescent="0.3">
      <c r="A250" t="s">
        <v>1510</v>
      </c>
      <c r="B250" t="s">
        <v>1759</v>
      </c>
    </row>
    <row r="251" spans="1:2" x14ac:dyDescent="0.3">
      <c r="A251" t="s">
        <v>1510</v>
      </c>
      <c r="B251" t="s">
        <v>1760</v>
      </c>
    </row>
    <row r="252" spans="1:2" x14ac:dyDescent="0.3">
      <c r="A252" t="s">
        <v>1510</v>
      </c>
      <c r="B252" t="s">
        <v>1761</v>
      </c>
    </row>
    <row r="253" spans="1:2" x14ac:dyDescent="0.3">
      <c r="A253" t="s">
        <v>1510</v>
      </c>
      <c r="B253" t="s">
        <v>1762</v>
      </c>
    </row>
    <row r="254" spans="1:2" x14ac:dyDescent="0.3">
      <c r="A254" t="s">
        <v>1510</v>
      </c>
      <c r="B254" t="s">
        <v>1763</v>
      </c>
    </row>
    <row r="255" spans="1:2" x14ac:dyDescent="0.3">
      <c r="A255" t="s">
        <v>1510</v>
      </c>
      <c r="B255" t="s">
        <v>1764</v>
      </c>
    </row>
    <row r="256" spans="1:2" x14ac:dyDescent="0.3">
      <c r="A256" t="s">
        <v>1510</v>
      </c>
      <c r="B256" t="s">
        <v>1765</v>
      </c>
    </row>
    <row r="257" spans="1:2" x14ac:dyDescent="0.3">
      <c r="A257" t="s">
        <v>1510</v>
      </c>
      <c r="B257" t="s">
        <v>1766</v>
      </c>
    </row>
    <row r="258" spans="1:2" x14ac:dyDescent="0.3">
      <c r="A258" t="s">
        <v>1510</v>
      </c>
      <c r="B258" t="s">
        <v>1767</v>
      </c>
    </row>
    <row r="259" spans="1:2" x14ac:dyDescent="0.3">
      <c r="A259" t="s">
        <v>1510</v>
      </c>
      <c r="B259" t="s">
        <v>1768</v>
      </c>
    </row>
    <row r="260" spans="1:2" x14ac:dyDescent="0.3">
      <c r="A260" t="s">
        <v>1510</v>
      </c>
      <c r="B260" t="s">
        <v>1769</v>
      </c>
    </row>
    <row r="261" spans="1:2" x14ac:dyDescent="0.3">
      <c r="A261" t="s">
        <v>1510</v>
      </c>
      <c r="B261" t="s">
        <v>1770</v>
      </c>
    </row>
    <row r="262" spans="1:2" x14ac:dyDescent="0.3">
      <c r="A262" t="s">
        <v>1510</v>
      </c>
      <c r="B262" t="s">
        <v>1771</v>
      </c>
    </row>
    <row r="263" spans="1:2" x14ac:dyDescent="0.3">
      <c r="A263" t="s">
        <v>1510</v>
      </c>
      <c r="B263" t="s">
        <v>1772</v>
      </c>
    </row>
    <row r="264" spans="1:2" x14ac:dyDescent="0.3">
      <c r="A264" t="s">
        <v>1510</v>
      </c>
      <c r="B264" t="s">
        <v>1773</v>
      </c>
    </row>
    <row r="265" spans="1:2" x14ac:dyDescent="0.3">
      <c r="A265" t="s">
        <v>1510</v>
      </c>
      <c r="B265" t="s">
        <v>1774</v>
      </c>
    </row>
    <row r="266" spans="1:2" x14ac:dyDescent="0.3">
      <c r="A266" t="s">
        <v>1510</v>
      </c>
      <c r="B266" t="s">
        <v>1775</v>
      </c>
    </row>
    <row r="267" spans="1:2" x14ac:dyDescent="0.3">
      <c r="A267" t="s">
        <v>1510</v>
      </c>
      <c r="B267" t="s">
        <v>1776</v>
      </c>
    </row>
    <row r="268" spans="1:2" x14ac:dyDescent="0.3">
      <c r="A268" t="s">
        <v>1510</v>
      </c>
      <c r="B268" t="s">
        <v>1777</v>
      </c>
    </row>
    <row r="269" spans="1:2" x14ac:dyDescent="0.3">
      <c r="A269" t="s">
        <v>1510</v>
      </c>
      <c r="B269" t="s">
        <v>1778</v>
      </c>
    </row>
    <row r="270" spans="1:2" x14ac:dyDescent="0.3">
      <c r="A270" t="s">
        <v>1510</v>
      </c>
      <c r="B270" t="s">
        <v>1779</v>
      </c>
    </row>
    <row r="271" spans="1:2" x14ac:dyDescent="0.3">
      <c r="A271" t="s">
        <v>1510</v>
      </c>
      <c r="B271" t="s">
        <v>1780</v>
      </c>
    </row>
    <row r="272" spans="1:2" x14ac:dyDescent="0.3">
      <c r="A272" t="s">
        <v>1510</v>
      </c>
      <c r="B272" t="s">
        <v>1781</v>
      </c>
    </row>
    <row r="273" spans="1:2" x14ac:dyDescent="0.3">
      <c r="A273" t="s">
        <v>1510</v>
      </c>
      <c r="B273" t="s">
        <v>1782</v>
      </c>
    </row>
    <row r="274" spans="1:2" x14ac:dyDescent="0.3">
      <c r="A274" t="s">
        <v>1510</v>
      </c>
      <c r="B274" t="s">
        <v>1783</v>
      </c>
    </row>
    <row r="275" spans="1:2" x14ac:dyDescent="0.3">
      <c r="A275" t="s">
        <v>1510</v>
      </c>
      <c r="B275" t="s">
        <v>1784</v>
      </c>
    </row>
    <row r="276" spans="1:2" x14ac:dyDescent="0.3">
      <c r="A276" t="s">
        <v>1510</v>
      </c>
      <c r="B276" t="s">
        <v>1785</v>
      </c>
    </row>
    <row r="277" spans="1:2" x14ac:dyDescent="0.3">
      <c r="A277" t="s">
        <v>1510</v>
      </c>
      <c r="B277" t="s">
        <v>1786</v>
      </c>
    </row>
    <row r="278" spans="1:2" x14ac:dyDescent="0.3">
      <c r="A278" t="s">
        <v>1510</v>
      </c>
      <c r="B278" t="s">
        <v>1787</v>
      </c>
    </row>
    <row r="279" spans="1:2" x14ac:dyDescent="0.3">
      <c r="A279" t="s">
        <v>1510</v>
      </c>
      <c r="B279" t="s">
        <v>1788</v>
      </c>
    </row>
    <row r="280" spans="1:2" x14ac:dyDescent="0.3">
      <c r="A280" t="s">
        <v>1510</v>
      </c>
      <c r="B280" t="s">
        <v>1789</v>
      </c>
    </row>
    <row r="281" spans="1:2" x14ac:dyDescent="0.3">
      <c r="A281" t="s">
        <v>1510</v>
      </c>
      <c r="B281" t="s">
        <v>1790</v>
      </c>
    </row>
    <row r="282" spans="1:2" x14ac:dyDescent="0.3">
      <c r="A282" t="s">
        <v>1510</v>
      </c>
      <c r="B282" t="s">
        <v>1791</v>
      </c>
    </row>
    <row r="283" spans="1:2" x14ac:dyDescent="0.3">
      <c r="A283" t="s">
        <v>1510</v>
      </c>
      <c r="B283" t="s">
        <v>1792</v>
      </c>
    </row>
    <row r="284" spans="1:2" x14ac:dyDescent="0.3">
      <c r="A284" t="s">
        <v>1510</v>
      </c>
      <c r="B284" t="s">
        <v>1793</v>
      </c>
    </row>
    <row r="285" spans="1:2" x14ac:dyDescent="0.3">
      <c r="A285" t="s">
        <v>1510</v>
      </c>
      <c r="B285" t="s">
        <v>1794</v>
      </c>
    </row>
    <row r="286" spans="1:2" x14ac:dyDescent="0.3">
      <c r="A286" t="s">
        <v>1510</v>
      </c>
      <c r="B286" t="s">
        <v>1795</v>
      </c>
    </row>
    <row r="287" spans="1:2" x14ac:dyDescent="0.3">
      <c r="A287" t="s">
        <v>1510</v>
      </c>
      <c r="B287" t="s">
        <v>1796</v>
      </c>
    </row>
    <row r="288" spans="1:2" x14ac:dyDescent="0.3">
      <c r="A288" t="s">
        <v>1510</v>
      </c>
      <c r="B288" t="s">
        <v>1797</v>
      </c>
    </row>
    <row r="289" spans="1:2" x14ac:dyDescent="0.3">
      <c r="A289" t="s">
        <v>1510</v>
      </c>
      <c r="B289" t="s">
        <v>1798</v>
      </c>
    </row>
    <row r="290" spans="1:2" x14ac:dyDescent="0.3">
      <c r="A290" t="s">
        <v>1510</v>
      </c>
      <c r="B290" t="s">
        <v>1799</v>
      </c>
    </row>
    <row r="291" spans="1:2" x14ac:dyDescent="0.3">
      <c r="A291" t="s">
        <v>1510</v>
      </c>
      <c r="B291" t="s">
        <v>1800</v>
      </c>
    </row>
    <row r="292" spans="1:2" x14ac:dyDescent="0.3">
      <c r="A292" t="s">
        <v>1510</v>
      </c>
      <c r="B292" t="s">
        <v>1801</v>
      </c>
    </row>
    <row r="293" spans="1:2" x14ac:dyDescent="0.3">
      <c r="A293" t="s">
        <v>1510</v>
      </c>
      <c r="B293" t="s">
        <v>1802</v>
      </c>
    </row>
    <row r="294" spans="1:2" x14ac:dyDescent="0.3">
      <c r="A294" t="s">
        <v>1510</v>
      </c>
      <c r="B294" t="s">
        <v>1803</v>
      </c>
    </row>
    <row r="295" spans="1:2" x14ac:dyDescent="0.3">
      <c r="A295" t="s">
        <v>1510</v>
      </c>
      <c r="B295" t="s">
        <v>1804</v>
      </c>
    </row>
    <row r="296" spans="1:2" x14ac:dyDescent="0.3">
      <c r="A296" t="s">
        <v>1510</v>
      </c>
      <c r="B296" t="s">
        <v>1805</v>
      </c>
    </row>
    <row r="297" spans="1:2" x14ac:dyDescent="0.3">
      <c r="A297" t="s">
        <v>1510</v>
      </c>
      <c r="B297" t="s">
        <v>1806</v>
      </c>
    </row>
    <row r="298" spans="1:2" x14ac:dyDescent="0.3">
      <c r="A298" t="s">
        <v>1510</v>
      </c>
      <c r="B298" t="s">
        <v>1807</v>
      </c>
    </row>
    <row r="299" spans="1:2" x14ac:dyDescent="0.3">
      <c r="A299" t="s">
        <v>1510</v>
      </c>
      <c r="B299" t="s">
        <v>1808</v>
      </c>
    </row>
    <row r="300" spans="1:2" x14ac:dyDescent="0.3">
      <c r="A300" t="s">
        <v>1510</v>
      </c>
      <c r="B300" t="s">
        <v>1809</v>
      </c>
    </row>
    <row r="301" spans="1:2" x14ac:dyDescent="0.3">
      <c r="A301" t="s">
        <v>1510</v>
      </c>
      <c r="B301" t="s">
        <v>1810</v>
      </c>
    </row>
    <row r="302" spans="1:2" x14ac:dyDescent="0.3">
      <c r="A302" t="s">
        <v>1510</v>
      </c>
      <c r="B302" t="s">
        <v>1811</v>
      </c>
    </row>
    <row r="303" spans="1:2" x14ac:dyDescent="0.3">
      <c r="A303" t="s">
        <v>1510</v>
      </c>
      <c r="B303" t="s">
        <v>1812</v>
      </c>
    </row>
    <row r="304" spans="1:2" x14ac:dyDescent="0.3">
      <c r="A304" t="s">
        <v>1510</v>
      </c>
      <c r="B304" t="s">
        <v>1813</v>
      </c>
    </row>
    <row r="305" spans="1:2" x14ac:dyDescent="0.3">
      <c r="A305" t="s">
        <v>1510</v>
      </c>
      <c r="B305" t="s">
        <v>1814</v>
      </c>
    </row>
    <row r="306" spans="1:2" x14ac:dyDescent="0.3">
      <c r="A306" t="s">
        <v>1510</v>
      </c>
      <c r="B306" t="s">
        <v>1815</v>
      </c>
    </row>
    <row r="307" spans="1:2" x14ac:dyDescent="0.3">
      <c r="A307" t="s">
        <v>1510</v>
      </c>
      <c r="B307" t="s">
        <v>1816</v>
      </c>
    </row>
    <row r="308" spans="1:2" x14ac:dyDescent="0.3">
      <c r="A308" t="s">
        <v>1510</v>
      </c>
      <c r="B308" t="s">
        <v>1817</v>
      </c>
    </row>
    <row r="309" spans="1:2" x14ac:dyDescent="0.3">
      <c r="A309" t="s">
        <v>1510</v>
      </c>
      <c r="B309" t="s">
        <v>1818</v>
      </c>
    </row>
    <row r="310" spans="1:2" x14ac:dyDescent="0.3">
      <c r="A310" t="s">
        <v>1510</v>
      </c>
      <c r="B310" t="s">
        <v>1819</v>
      </c>
    </row>
    <row r="311" spans="1:2" x14ac:dyDescent="0.3">
      <c r="A311" t="s">
        <v>1510</v>
      </c>
      <c r="B311" t="s">
        <v>1820</v>
      </c>
    </row>
    <row r="312" spans="1:2" x14ac:dyDescent="0.3">
      <c r="A312" t="s">
        <v>1510</v>
      </c>
      <c r="B312" t="s">
        <v>1821</v>
      </c>
    </row>
    <row r="313" spans="1:2" x14ac:dyDescent="0.3">
      <c r="A313" t="s">
        <v>1510</v>
      </c>
      <c r="B313" t="s">
        <v>1822</v>
      </c>
    </row>
    <row r="314" spans="1:2" x14ac:dyDescent="0.3">
      <c r="A314" t="s">
        <v>1510</v>
      </c>
      <c r="B314" t="s">
        <v>1823</v>
      </c>
    </row>
    <row r="315" spans="1:2" x14ac:dyDescent="0.3">
      <c r="A315" t="s">
        <v>1510</v>
      </c>
      <c r="B315" t="s">
        <v>1824</v>
      </c>
    </row>
    <row r="316" spans="1:2" x14ac:dyDescent="0.3">
      <c r="A316" t="s">
        <v>1510</v>
      </c>
      <c r="B316" t="s">
        <v>1825</v>
      </c>
    </row>
    <row r="317" spans="1:2" x14ac:dyDescent="0.3">
      <c r="A317" t="s">
        <v>1510</v>
      </c>
      <c r="B317" t="s">
        <v>1826</v>
      </c>
    </row>
    <row r="318" spans="1:2" x14ac:dyDescent="0.3">
      <c r="A318" t="s">
        <v>1510</v>
      </c>
      <c r="B318" t="s">
        <v>1827</v>
      </c>
    </row>
    <row r="319" spans="1:2" x14ac:dyDescent="0.3">
      <c r="A319" t="s">
        <v>1510</v>
      </c>
      <c r="B319" t="s">
        <v>1828</v>
      </c>
    </row>
    <row r="320" spans="1:2" x14ac:dyDescent="0.3">
      <c r="A320" t="s">
        <v>1510</v>
      </c>
      <c r="B320" t="s">
        <v>1829</v>
      </c>
    </row>
    <row r="321" spans="1:2" x14ac:dyDescent="0.3">
      <c r="A321" t="s">
        <v>1510</v>
      </c>
      <c r="B321" t="s">
        <v>1830</v>
      </c>
    </row>
    <row r="322" spans="1:2" x14ac:dyDescent="0.3">
      <c r="A322" t="s">
        <v>1510</v>
      </c>
      <c r="B322" t="s">
        <v>1831</v>
      </c>
    </row>
    <row r="323" spans="1:2" x14ac:dyDescent="0.3">
      <c r="A323" t="s">
        <v>1510</v>
      </c>
      <c r="B323" t="s">
        <v>1832</v>
      </c>
    </row>
    <row r="324" spans="1:2" x14ac:dyDescent="0.3">
      <c r="A324" t="s">
        <v>1510</v>
      </c>
      <c r="B324" t="s">
        <v>1833</v>
      </c>
    </row>
    <row r="325" spans="1:2" x14ac:dyDescent="0.3">
      <c r="A325" t="s">
        <v>1510</v>
      </c>
      <c r="B325" t="s">
        <v>1834</v>
      </c>
    </row>
    <row r="326" spans="1:2" x14ac:dyDescent="0.3">
      <c r="A326" t="s">
        <v>1510</v>
      </c>
      <c r="B326" t="s">
        <v>1835</v>
      </c>
    </row>
    <row r="327" spans="1:2" x14ac:dyDescent="0.3">
      <c r="A327" t="s">
        <v>1510</v>
      </c>
      <c r="B327" t="s">
        <v>1836</v>
      </c>
    </row>
    <row r="328" spans="1:2" x14ac:dyDescent="0.3">
      <c r="A328" t="s">
        <v>1510</v>
      </c>
      <c r="B328" t="s">
        <v>1837</v>
      </c>
    </row>
    <row r="329" spans="1:2" x14ac:dyDescent="0.3">
      <c r="A329" t="s">
        <v>1510</v>
      </c>
      <c r="B329" t="s">
        <v>1838</v>
      </c>
    </row>
    <row r="330" spans="1:2" x14ac:dyDescent="0.3">
      <c r="A330" t="s">
        <v>1510</v>
      </c>
      <c r="B330" t="s">
        <v>1839</v>
      </c>
    </row>
    <row r="331" spans="1:2" x14ac:dyDescent="0.3">
      <c r="A331" t="s">
        <v>1510</v>
      </c>
      <c r="B331" t="s">
        <v>1840</v>
      </c>
    </row>
    <row r="332" spans="1:2" x14ac:dyDescent="0.3">
      <c r="A332" t="s">
        <v>1510</v>
      </c>
      <c r="B332" t="s">
        <v>1841</v>
      </c>
    </row>
    <row r="333" spans="1:2" x14ac:dyDescent="0.3">
      <c r="A333" t="s">
        <v>1510</v>
      </c>
      <c r="B333" t="s">
        <v>1842</v>
      </c>
    </row>
    <row r="334" spans="1:2" x14ac:dyDescent="0.3">
      <c r="A334" t="s">
        <v>1510</v>
      </c>
      <c r="B334" t="s">
        <v>1843</v>
      </c>
    </row>
    <row r="335" spans="1:2" x14ac:dyDescent="0.3">
      <c r="A335" t="s">
        <v>1510</v>
      </c>
      <c r="B335" t="s">
        <v>1844</v>
      </c>
    </row>
    <row r="336" spans="1:2" x14ac:dyDescent="0.3">
      <c r="A336" t="s">
        <v>1510</v>
      </c>
      <c r="B336" t="s">
        <v>1845</v>
      </c>
    </row>
    <row r="337" spans="1:2" x14ac:dyDescent="0.3">
      <c r="A337" t="s">
        <v>1510</v>
      </c>
      <c r="B337" t="s">
        <v>1846</v>
      </c>
    </row>
    <row r="338" spans="1:2" x14ac:dyDescent="0.3">
      <c r="A338" t="s">
        <v>1510</v>
      </c>
      <c r="B338" t="s">
        <v>1847</v>
      </c>
    </row>
    <row r="339" spans="1:2" x14ac:dyDescent="0.3">
      <c r="A339" t="s">
        <v>1510</v>
      </c>
      <c r="B339" t="s">
        <v>1848</v>
      </c>
    </row>
    <row r="340" spans="1:2" x14ac:dyDescent="0.3">
      <c r="A340" t="s">
        <v>1510</v>
      </c>
      <c r="B340" t="s">
        <v>1849</v>
      </c>
    </row>
    <row r="341" spans="1:2" x14ac:dyDescent="0.3">
      <c r="A341" t="s">
        <v>1510</v>
      </c>
      <c r="B341" t="s">
        <v>1850</v>
      </c>
    </row>
    <row r="342" spans="1:2" x14ac:dyDescent="0.3">
      <c r="A342" t="s">
        <v>1510</v>
      </c>
      <c r="B342" t="s">
        <v>1851</v>
      </c>
    </row>
    <row r="343" spans="1:2" x14ac:dyDescent="0.3">
      <c r="A343" t="s">
        <v>1510</v>
      </c>
      <c r="B343" t="s">
        <v>1852</v>
      </c>
    </row>
    <row r="344" spans="1:2" x14ac:dyDescent="0.3">
      <c r="A344" t="s">
        <v>1510</v>
      </c>
      <c r="B344" t="s">
        <v>1853</v>
      </c>
    </row>
    <row r="345" spans="1:2" x14ac:dyDescent="0.3">
      <c r="A345" t="s">
        <v>1510</v>
      </c>
      <c r="B345" t="s">
        <v>1854</v>
      </c>
    </row>
    <row r="346" spans="1:2" x14ac:dyDescent="0.3">
      <c r="A346" t="s">
        <v>1510</v>
      </c>
      <c r="B346" t="s">
        <v>1855</v>
      </c>
    </row>
    <row r="347" spans="1:2" x14ac:dyDescent="0.3">
      <c r="A347" t="s">
        <v>1510</v>
      </c>
      <c r="B347" t="s">
        <v>1856</v>
      </c>
    </row>
    <row r="348" spans="1:2" x14ac:dyDescent="0.3">
      <c r="A348" t="s">
        <v>1510</v>
      </c>
      <c r="B348" t="s">
        <v>1857</v>
      </c>
    </row>
    <row r="349" spans="1:2" x14ac:dyDescent="0.3">
      <c r="A349" t="s">
        <v>1510</v>
      </c>
      <c r="B349" t="s">
        <v>1858</v>
      </c>
    </row>
    <row r="350" spans="1:2" x14ac:dyDescent="0.3">
      <c r="A350" t="s">
        <v>1510</v>
      </c>
      <c r="B350" t="s">
        <v>1859</v>
      </c>
    </row>
    <row r="351" spans="1:2" x14ac:dyDescent="0.3">
      <c r="A351" t="s">
        <v>1510</v>
      </c>
      <c r="B351" t="s">
        <v>1860</v>
      </c>
    </row>
    <row r="352" spans="1:2" x14ac:dyDescent="0.3">
      <c r="A352" t="s">
        <v>1510</v>
      </c>
      <c r="B352" t="s">
        <v>1861</v>
      </c>
    </row>
    <row r="353" spans="1:2" x14ac:dyDescent="0.3">
      <c r="A353" t="s">
        <v>1510</v>
      </c>
      <c r="B353" t="s">
        <v>1862</v>
      </c>
    </row>
    <row r="354" spans="1:2" x14ac:dyDescent="0.3">
      <c r="A354" t="s">
        <v>1510</v>
      </c>
      <c r="B354" t="s">
        <v>1863</v>
      </c>
    </row>
    <row r="355" spans="1:2" x14ac:dyDescent="0.3">
      <c r="A355" t="s">
        <v>1510</v>
      </c>
      <c r="B355" t="s">
        <v>1864</v>
      </c>
    </row>
    <row r="356" spans="1:2" x14ac:dyDescent="0.3">
      <c r="A356" t="s">
        <v>1510</v>
      </c>
      <c r="B356" t="s">
        <v>1865</v>
      </c>
    </row>
    <row r="357" spans="1:2" x14ac:dyDescent="0.3">
      <c r="A357" t="s">
        <v>1510</v>
      </c>
      <c r="B357" t="s">
        <v>1866</v>
      </c>
    </row>
    <row r="358" spans="1:2" x14ac:dyDescent="0.3">
      <c r="A358" t="s">
        <v>1510</v>
      </c>
      <c r="B358" t="s">
        <v>1867</v>
      </c>
    </row>
    <row r="359" spans="1:2" x14ac:dyDescent="0.3">
      <c r="A359" t="s">
        <v>1510</v>
      </c>
      <c r="B359" t="s">
        <v>1868</v>
      </c>
    </row>
    <row r="360" spans="1:2" x14ac:dyDescent="0.3">
      <c r="A360" t="s">
        <v>1510</v>
      </c>
      <c r="B360" t="s">
        <v>1869</v>
      </c>
    </row>
    <row r="361" spans="1:2" x14ac:dyDescent="0.3">
      <c r="A361" t="s">
        <v>1510</v>
      </c>
      <c r="B361" t="s">
        <v>1870</v>
      </c>
    </row>
    <row r="362" spans="1:2" x14ac:dyDescent="0.3">
      <c r="A362" t="s">
        <v>1510</v>
      </c>
      <c r="B362" t="s">
        <v>1871</v>
      </c>
    </row>
    <row r="363" spans="1:2" x14ac:dyDescent="0.3">
      <c r="A363" t="s">
        <v>1510</v>
      </c>
      <c r="B363" t="s">
        <v>1872</v>
      </c>
    </row>
    <row r="364" spans="1:2" x14ac:dyDescent="0.3">
      <c r="A364" t="s">
        <v>1510</v>
      </c>
      <c r="B364" t="s">
        <v>1873</v>
      </c>
    </row>
    <row r="365" spans="1:2" x14ac:dyDescent="0.3">
      <c r="A365" t="s">
        <v>1510</v>
      </c>
      <c r="B365" t="s">
        <v>1874</v>
      </c>
    </row>
    <row r="366" spans="1:2" x14ac:dyDescent="0.3">
      <c r="A366" t="s">
        <v>1510</v>
      </c>
      <c r="B366" t="s">
        <v>1875</v>
      </c>
    </row>
    <row r="367" spans="1:2" x14ac:dyDescent="0.3">
      <c r="A367" t="s">
        <v>1510</v>
      </c>
      <c r="B367" t="s">
        <v>1876</v>
      </c>
    </row>
    <row r="368" spans="1:2" x14ac:dyDescent="0.3">
      <c r="A368" t="s">
        <v>1510</v>
      </c>
      <c r="B368" t="s">
        <v>1877</v>
      </c>
    </row>
    <row r="369" spans="1:2" x14ac:dyDescent="0.3">
      <c r="A369" t="s">
        <v>1510</v>
      </c>
      <c r="B369" t="s">
        <v>1878</v>
      </c>
    </row>
    <row r="370" spans="1:2" x14ac:dyDescent="0.3">
      <c r="A370" t="s">
        <v>1510</v>
      </c>
      <c r="B370" t="s">
        <v>1879</v>
      </c>
    </row>
    <row r="371" spans="1:2" x14ac:dyDescent="0.3">
      <c r="A371" t="s">
        <v>1510</v>
      </c>
      <c r="B371" t="s">
        <v>1880</v>
      </c>
    </row>
    <row r="372" spans="1:2" x14ac:dyDescent="0.3">
      <c r="A372" t="s">
        <v>1510</v>
      </c>
      <c r="B372" t="s">
        <v>1881</v>
      </c>
    </row>
    <row r="373" spans="1:2" x14ac:dyDescent="0.3">
      <c r="A373" t="s">
        <v>1510</v>
      </c>
      <c r="B373" t="s">
        <v>1882</v>
      </c>
    </row>
    <row r="374" spans="1:2" x14ac:dyDescent="0.3">
      <c r="A374" t="s">
        <v>1510</v>
      </c>
      <c r="B374" t="s">
        <v>1883</v>
      </c>
    </row>
    <row r="375" spans="1:2" x14ac:dyDescent="0.3">
      <c r="A375" t="s">
        <v>1510</v>
      </c>
      <c r="B375" t="s">
        <v>1884</v>
      </c>
    </row>
    <row r="376" spans="1:2" x14ac:dyDescent="0.3">
      <c r="A376" t="s">
        <v>1510</v>
      </c>
      <c r="B376" t="s">
        <v>1885</v>
      </c>
    </row>
    <row r="377" spans="1:2" x14ac:dyDescent="0.3">
      <c r="A377" t="s">
        <v>1510</v>
      </c>
      <c r="B377" t="s">
        <v>1886</v>
      </c>
    </row>
    <row r="378" spans="1:2" x14ac:dyDescent="0.3">
      <c r="A378" t="s">
        <v>1510</v>
      </c>
      <c r="B378" t="s">
        <v>1887</v>
      </c>
    </row>
    <row r="379" spans="1:2" x14ac:dyDescent="0.3">
      <c r="A379" t="s">
        <v>1510</v>
      </c>
      <c r="B379" t="s">
        <v>1888</v>
      </c>
    </row>
    <row r="380" spans="1:2" x14ac:dyDescent="0.3">
      <c r="A380" t="s">
        <v>1510</v>
      </c>
      <c r="B380" t="s">
        <v>1889</v>
      </c>
    </row>
    <row r="381" spans="1:2" x14ac:dyDescent="0.3">
      <c r="A381" t="s">
        <v>1510</v>
      </c>
      <c r="B381" t="s">
        <v>1890</v>
      </c>
    </row>
    <row r="382" spans="1:2" x14ac:dyDescent="0.3">
      <c r="A382" t="s">
        <v>1510</v>
      </c>
      <c r="B382" t="s">
        <v>1891</v>
      </c>
    </row>
    <row r="383" spans="1:2" x14ac:dyDescent="0.3">
      <c r="A383" t="s">
        <v>1510</v>
      </c>
      <c r="B383" t="s">
        <v>1892</v>
      </c>
    </row>
    <row r="384" spans="1:2" x14ac:dyDescent="0.3">
      <c r="A384" t="s">
        <v>1510</v>
      </c>
      <c r="B384" t="s">
        <v>1893</v>
      </c>
    </row>
    <row r="385" spans="1:2" x14ac:dyDescent="0.3">
      <c r="A385" t="s">
        <v>1510</v>
      </c>
      <c r="B385" t="s">
        <v>1894</v>
      </c>
    </row>
    <row r="386" spans="1:2" x14ac:dyDescent="0.3">
      <c r="A386" t="s">
        <v>1510</v>
      </c>
      <c r="B386" t="s">
        <v>1895</v>
      </c>
    </row>
    <row r="387" spans="1:2" x14ac:dyDescent="0.3">
      <c r="A387" t="s">
        <v>1510</v>
      </c>
      <c r="B387" t="s">
        <v>1896</v>
      </c>
    </row>
    <row r="388" spans="1:2" x14ac:dyDescent="0.3">
      <c r="A388" t="s">
        <v>1510</v>
      </c>
      <c r="B388" t="s">
        <v>1897</v>
      </c>
    </row>
    <row r="389" spans="1:2" x14ac:dyDescent="0.3">
      <c r="A389" t="s">
        <v>1510</v>
      </c>
      <c r="B389" t="s">
        <v>1898</v>
      </c>
    </row>
    <row r="390" spans="1:2" x14ac:dyDescent="0.3">
      <c r="A390" t="s">
        <v>1510</v>
      </c>
      <c r="B390" t="s">
        <v>1899</v>
      </c>
    </row>
    <row r="391" spans="1:2" x14ac:dyDescent="0.3">
      <c r="A391" t="s">
        <v>1510</v>
      </c>
      <c r="B391" t="s">
        <v>1900</v>
      </c>
    </row>
    <row r="392" spans="1:2" x14ac:dyDescent="0.3">
      <c r="A392" t="s">
        <v>1510</v>
      </c>
      <c r="B392" t="s">
        <v>1901</v>
      </c>
    </row>
    <row r="393" spans="1:2" x14ac:dyDescent="0.3">
      <c r="A393" t="s">
        <v>1510</v>
      </c>
      <c r="B393" t="s">
        <v>1902</v>
      </c>
    </row>
    <row r="394" spans="1:2" x14ac:dyDescent="0.3">
      <c r="A394" t="s">
        <v>1510</v>
      </c>
      <c r="B394" t="s">
        <v>1903</v>
      </c>
    </row>
    <row r="395" spans="1:2" x14ac:dyDescent="0.3">
      <c r="A395" t="s">
        <v>1510</v>
      </c>
      <c r="B395" t="s">
        <v>1904</v>
      </c>
    </row>
    <row r="396" spans="1:2" x14ac:dyDescent="0.3">
      <c r="A396" t="s">
        <v>1510</v>
      </c>
      <c r="B396" t="s">
        <v>1905</v>
      </c>
    </row>
    <row r="397" spans="1:2" x14ac:dyDescent="0.3">
      <c r="A397" t="s">
        <v>1510</v>
      </c>
      <c r="B397" t="s">
        <v>1906</v>
      </c>
    </row>
    <row r="398" spans="1:2" x14ac:dyDescent="0.3">
      <c r="A398" t="s">
        <v>1510</v>
      </c>
      <c r="B398" t="s">
        <v>1907</v>
      </c>
    </row>
    <row r="399" spans="1:2" x14ac:dyDescent="0.3">
      <c r="A399" t="s">
        <v>1510</v>
      </c>
      <c r="B399" t="s">
        <v>1908</v>
      </c>
    </row>
    <row r="400" spans="1:2" x14ac:dyDescent="0.3">
      <c r="A400" t="s">
        <v>1510</v>
      </c>
      <c r="B400" t="s">
        <v>1909</v>
      </c>
    </row>
    <row r="401" spans="1:2" x14ac:dyDescent="0.3">
      <c r="A401" t="s">
        <v>1510</v>
      </c>
      <c r="B401" t="s">
        <v>1910</v>
      </c>
    </row>
    <row r="402" spans="1:2" x14ac:dyDescent="0.3">
      <c r="A402" t="s">
        <v>1510</v>
      </c>
      <c r="B402" t="s">
        <v>1911</v>
      </c>
    </row>
    <row r="403" spans="1:2" x14ac:dyDescent="0.3">
      <c r="A403" t="s">
        <v>1510</v>
      </c>
      <c r="B403" t="s">
        <v>1912</v>
      </c>
    </row>
    <row r="404" spans="1:2" x14ac:dyDescent="0.3">
      <c r="A404" t="s">
        <v>1510</v>
      </c>
      <c r="B404" t="s">
        <v>1913</v>
      </c>
    </row>
    <row r="405" spans="1:2" x14ac:dyDescent="0.3">
      <c r="A405" t="s">
        <v>1510</v>
      </c>
      <c r="B405" t="s">
        <v>1914</v>
      </c>
    </row>
    <row r="406" spans="1:2" x14ac:dyDescent="0.3">
      <c r="A406" t="s">
        <v>1510</v>
      </c>
      <c r="B406" t="s">
        <v>1915</v>
      </c>
    </row>
    <row r="407" spans="1:2" x14ac:dyDescent="0.3">
      <c r="A407" t="s">
        <v>1510</v>
      </c>
      <c r="B407" t="s">
        <v>1916</v>
      </c>
    </row>
    <row r="408" spans="1:2" x14ac:dyDescent="0.3">
      <c r="A408" t="s">
        <v>1510</v>
      </c>
      <c r="B408" t="s">
        <v>1917</v>
      </c>
    </row>
    <row r="409" spans="1:2" x14ac:dyDescent="0.3">
      <c r="A409" t="s">
        <v>1510</v>
      </c>
      <c r="B409" t="s">
        <v>1918</v>
      </c>
    </row>
    <row r="410" spans="1:2" x14ac:dyDescent="0.3">
      <c r="A410" t="s">
        <v>1510</v>
      </c>
      <c r="B410" t="s">
        <v>1919</v>
      </c>
    </row>
    <row r="411" spans="1:2" x14ac:dyDescent="0.3">
      <c r="A411" t="s">
        <v>1510</v>
      </c>
      <c r="B411" t="s">
        <v>1920</v>
      </c>
    </row>
    <row r="412" spans="1:2" x14ac:dyDescent="0.3">
      <c r="A412" t="s">
        <v>1510</v>
      </c>
      <c r="B412" t="s">
        <v>1921</v>
      </c>
    </row>
    <row r="413" spans="1:2" x14ac:dyDescent="0.3">
      <c r="A413" t="s">
        <v>1510</v>
      </c>
      <c r="B413" t="s">
        <v>1922</v>
      </c>
    </row>
    <row r="414" spans="1:2" x14ac:dyDescent="0.3">
      <c r="A414" t="s">
        <v>1510</v>
      </c>
      <c r="B414" t="s">
        <v>1923</v>
      </c>
    </row>
    <row r="415" spans="1:2" x14ac:dyDescent="0.3">
      <c r="A415" t="s">
        <v>1510</v>
      </c>
      <c r="B415" t="s">
        <v>1924</v>
      </c>
    </row>
    <row r="416" spans="1:2" x14ac:dyDescent="0.3">
      <c r="A416" t="s">
        <v>1510</v>
      </c>
      <c r="B416" t="s">
        <v>1925</v>
      </c>
    </row>
    <row r="417" spans="1:2" x14ac:dyDescent="0.3">
      <c r="A417" t="s">
        <v>1510</v>
      </c>
      <c r="B417" t="s">
        <v>1926</v>
      </c>
    </row>
    <row r="418" spans="1:2" x14ac:dyDescent="0.3">
      <c r="A418" t="s">
        <v>1510</v>
      </c>
      <c r="B418" t="s">
        <v>1927</v>
      </c>
    </row>
    <row r="419" spans="1:2" x14ac:dyDescent="0.3">
      <c r="A419" t="s">
        <v>1510</v>
      </c>
      <c r="B419" t="s">
        <v>1928</v>
      </c>
    </row>
    <row r="420" spans="1:2" x14ac:dyDescent="0.3">
      <c r="A420" t="s">
        <v>1510</v>
      </c>
      <c r="B420" t="s">
        <v>1929</v>
      </c>
    </row>
    <row r="421" spans="1:2" x14ac:dyDescent="0.3">
      <c r="A421" t="s">
        <v>1510</v>
      </c>
      <c r="B421" t="s">
        <v>1930</v>
      </c>
    </row>
    <row r="422" spans="1:2" x14ac:dyDescent="0.3">
      <c r="A422" t="s">
        <v>1510</v>
      </c>
      <c r="B422" t="s">
        <v>1931</v>
      </c>
    </row>
    <row r="423" spans="1:2" x14ac:dyDescent="0.3">
      <c r="A423" t="s">
        <v>1510</v>
      </c>
      <c r="B423" t="s">
        <v>1932</v>
      </c>
    </row>
    <row r="424" spans="1:2" x14ac:dyDescent="0.3">
      <c r="A424" t="s">
        <v>1510</v>
      </c>
      <c r="B424" t="s">
        <v>1933</v>
      </c>
    </row>
    <row r="425" spans="1:2" x14ac:dyDescent="0.3">
      <c r="A425" t="s">
        <v>1510</v>
      </c>
      <c r="B425" t="s">
        <v>1934</v>
      </c>
    </row>
    <row r="426" spans="1:2" x14ac:dyDescent="0.3">
      <c r="A426" t="s">
        <v>1510</v>
      </c>
      <c r="B426" t="s">
        <v>1935</v>
      </c>
    </row>
    <row r="427" spans="1:2" x14ac:dyDescent="0.3">
      <c r="A427" t="s">
        <v>1510</v>
      </c>
      <c r="B427" t="s">
        <v>1936</v>
      </c>
    </row>
    <row r="428" spans="1:2" x14ac:dyDescent="0.3">
      <c r="A428" t="s">
        <v>1510</v>
      </c>
      <c r="B428" t="s">
        <v>1937</v>
      </c>
    </row>
    <row r="429" spans="1:2" x14ac:dyDescent="0.3">
      <c r="A429" t="s">
        <v>1510</v>
      </c>
      <c r="B429" t="s">
        <v>1938</v>
      </c>
    </row>
    <row r="430" spans="1:2" x14ac:dyDescent="0.3">
      <c r="A430" t="s">
        <v>1510</v>
      </c>
      <c r="B430" t="s">
        <v>1939</v>
      </c>
    </row>
    <row r="431" spans="1:2" x14ac:dyDescent="0.3">
      <c r="A431" t="s">
        <v>1510</v>
      </c>
      <c r="B431" t="s">
        <v>1940</v>
      </c>
    </row>
    <row r="432" spans="1:2" x14ac:dyDescent="0.3">
      <c r="A432" t="s">
        <v>1510</v>
      </c>
      <c r="B432" t="s">
        <v>1941</v>
      </c>
    </row>
    <row r="433" spans="1:2" x14ac:dyDescent="0.3">
      <c r="A433" t="s">
        <v>1510</v>
      </c>
      <c r="B433" t="s">
        <v>1942</v>
      </c>
    </row>
    <row r="434" spans="1:2" x14ac:dyDescent="0.3">
      <c r="A434" t="s">
        <v>1510</v>
      </c>
      <c r="B434" t="s">
        <v>1943</v>
      </c>
    </row>
    <row r="435" spans="1:2" x14ac:dyDescent="0.3">
      <c r="A435" t="s">
        <v>1510</v>
      </c>
      <c r="B435" t="s">
        <v>1944</v>
      </c>
    </row>
    <row r="436" spans="1:2" x14ac:dyDescent="0.3">
      <c r="A436" t="s">
        <v>1510</v>
      </c>
      <c r="B436" t="s">
        <v>1945</v>
      </c>
    </row>
    <row r="437" spans="1:2" x14ac:dyDescent="0.3">
      <c r="A437" t="s">
        <v>1510</v>
      </c>
      <c r="B437" t="s">
        <v>1946</v>
      </c>
    </row>
    <row r="438" spans="1:2" x14ac:dyDescent="0.3">
      <c r="A438" t="s">
        <v>1510</v>
      </c>
      <c r="B438" t="s">
        <v>1947</v>
      </c>
    </row>
    <row r="439" spans="1:2" x14ac:dyDescent="0.3">
      <c r="A439" t="s">
        <v>1510</v>
      </c>
      <c r="B439" t="s">
        <v>1948</v>
      </c>
    </row>
    <row r="440" spans="1:2" x14ac:dyDescent="0.3">
      <c r="A440" t="s">
        <v>1510</v>
      </c>
      <c r="B440" t="s">
        <v>1949</v>
      </c>
    </row>
    <row r="441" spans="1:2" x14ac:dyDescent="0.3">
      <c r="A441" t="s">
        <v>1510</v>
      </c>
      <c r="B441" t="s">
        <v>1950</v>
      </c>
    </row>
    <row r="442" spans="1:2" x14ac:dyDescent="0.3">
      <c r="A442" t="s">
        <v>1510</v>
      </c>
      <c r="B442" t="s">
        <v>1951</v>
      </c>
    </row>
    <row r="443" spans="1:2" x14ac:dyDescent="0.3">
      <c r="A443" t="s">
        <v>1510</v>
      </c>
      <c r="B443" t="s">
        <v>1952</v>
      </c>
    </row>
    <row r="444" spans="1:2" x14ac:dyDescent="0.3">
      <c r="A444" t="s">
        <v>1510</v>
      </c>
      <c r="B444" t="s">
        <v>1953</v>
      </c>
    </row>
    <row r="445" spans="1:2" x14ac:dyDescent="0.3">
      <c r="A445" t="s">
        <v>1510</v>
      </c>
      <c r="B445" t="s">
        <v>1954</v>
      </c>
    </row>
    <row r="446" spans="1:2" x14ac:dyDescent="0.3">
      <c r="A446" t="s">
        <v>1510</v>
      </c>
      <c r="B446" t="s">
        <v>1955</v>
      </c>
    </row>
    <row r="447" spans="1:2" x14ac:dyDescent="0.3">
      <c r="A447" t="s">
        <v>1510</v>
      </c>
      <c r="B447" t="s">
        <v>1956</v>
      </c>
    </row>
    <row r="448" spans="1:2" x14ac:dyDescent="0.3">
      <c r="A448" t="s">
        <v>1510</v>
      </c>
      <c r="B448" t="s">
        <v>1957</v>
      </c>
    </row>
    <row r="449" spans="1:2" x14ac:dyDescent="0.3">
      <c r="A449" t="s">
        <v>1510</v>
      </c>
      <c r="B449" t="s">
        <v>1958</v>
      </c>
    </row>
    <row r="450" spans="1:2" x14ac:dyDescent="0.3">
      <c r="A450" t="s">
        <v>1510</v>
      </c>
      <c r="B450" t="s">
        <v>1959</v>
      </c>
    </row>
    <row r="451" spans="1:2" x14ac:dyDescent="0.3">
      <c r="A451" t="s">
        <v>1510</v>
      </c>
      <c r="B451" t="s">
        <v>1960</v>
      </c>
    </row>
    <row r="452" spans="1:2" x14ac:dyDescent="0.3">
      <c r="A452" t="s">
        <v>1510</v>
      </c>
      <c r="B452" t="s">
        <v>1961</v>
      </c>
    </row>
    <row r="453" spans="1:2" x14ac:dyDescent="0.3">
      <c r="A453" t="s">
        <v>1510</v>
      </c>
      <c r="B453" t="s">
        <v>1962</v>
      </c>
    </row>
    <row r="454" spans="1:2" x14ac:dyDescent="0.3">
      <c r="A454" t="s">
        <v>1510</v>
      </c>
      <c r="B454" t="s">
        <v>1963</v>
      </c>
    </row>
    <row r="455" spans="1:2" x14ac:dyDescent="0.3">
      <c r="A455" t="s">
        <v>1510</v>
      </c>
      <c r="B455" t="s">
        <v>1964</v>
      </c>
    </row>
    <row r="456" spans="1:2" x14ac:dyDescent="0.3">
      <c r="A456" t="s">
        <v>1510</v>
      </c>
      <c r="B456" t="s">
        <v>1965</v>
      </c>
    </row>
    <row r="457" spans="1:2" x14ac:dyDescent="0.3">
      <c r="A457" t="s">
        <v>1510</v>
      </c>
      <c r="B457" t="s">
        <v>1966</v>
      </c>
    </row>
    <row r="458" spans="1:2" x14ac:dyDescent="0.3">
      <c r="A458" t="s">
        <v>1510</v>
      </c>
      <c r="B458" t="s">
        <v>1967</v>
      </c>
    </row>
    <row r="459" spans="1:2" x14ac:dyDescent="0.3">
      <c r="A459" t="s">
        <v>1510</v>
      </c>
      <c r="B459" t="s">
        <v>1968</v>
      </c>
    </row>
    <row r="460" spans="1:2" x14ac:dyDescent="0.3">
      <c r="A460" t="s">
        <v>1510</v>
      </c>
      <c r="B460" t="s">
        <v>1969</v>
      </c>
    </row>
    <row r="461" spans="1:2" x14ac:dyDescent="0.3">
      <c r="A461" t="s">
        <v>1510</v>
      </c>
      <c r="B461" t="s">
        <v>1970</v>
      </c>
    </row>
    <row r="462" spans="1:2" x14ac:dyDescent="0.3">
      <c r="A462" t="s">
        <v>1510</v>
      </c>
      <c r="B462" t="s">
        <v>1971</v>
      </c>
    </row>
    <row r="463" spans="1:2" x14ac:dyDescent="0.3">
      <c r="A463" t="s">
        <v>1510</v>
      </c>
      <c r="B463" t="s">
        <v>1972</v>
      </c>
    </row>
    <row r="464" spans="1:2" x14ac:dyDescent="0.3">
      <c r="A464" t="s">
        <v>1510</v>
      </c>
      <c r="B464" t="s">
        <v>1973</v>
      </c>
    </row>
    <row r="465" spans="1:2" x14ac:dyDescent="0.3">
      <c r="A465" t="s">
        <v>1510</v>
      </c>
      <c r="B465" t="s">
        <v>1974</v>
      </c>
    </row>
    <row r="466" spans="1:2" x14ac:dyDescent="0.3">
      <c r="A466" t="s">
        <v>1510</v>
      </c>
      <c r="B466" t="s">
        <v>1975</v>
      </c>
    </row>
    <row r="467" spans="1:2" x14ac:dyDescent="0.3">
      <c r="A467" t="s">
        <v>1510</v>
      </c>
      <c r="B467" t="s">
        <v>1976</v>
      </c>
    </row>
    <row r="468" spans="1:2" x14ac:dyDescent="0.3">
      <c r="A468" t="s">
        <v>1510</v>
      </c>
      <c r="B468" t="s">
        <v>1977</v>
      </c>
    </row>
    <row r="469" spans="1:2" x14ac:dyDescent="0.3">
      <c r="A469" t="s">
        <v>1510</v>
      </c>
      <c r="B469" t="s">
        <v>1978</v>
      </c>
    </row>
    <row r="470" spans="1:2" x14ac:dyDescent="0.3">
      <c r="A470" t="s">
        <v>1510</v>
      </c>
      <c r="B470" t="s">
        <v>1979</v>
      </c>
    </row>
    <row r="471" spans="1:2" x14ac:dyDescent="0.3">
      <c r="A471" t="s">
        <v>1510</v>
      </c>
      <c r="B471" t="s">
        <v>1980</v>
      </c>
    </row>
    <row r="472" spans="1:2" x14ac:dyDescent="0.3">
      <c r="A472" t="s">
        <v>1510</v>
      </c>
      <c r="B472" t="s">
        <v>1981</v>
      </c>
    </row>
    <row r="473" spans="1:2" x14ac:dyDescent="0.3">
      <c r="A473" t="s">
        <v>1510</v>
      </c>
      <c r="B473" t="s">
        <v>1982</v>
      </c>
    </row>
    <row r="474" spans="1:2" x14ac:dyDescent="0.3">
      <c r="A474" t="s">
        <v>1510</v>
      </c>
      <c r="B474" t="s">
        <v>1983</v>
      </c>
    </row>
    <row r="475" spans="1:2" x14ac:dyDescent="0.3">
      <c r="A475" t="s">
        <v>1510</v>
      </c>
      <c r="B475" t="s">
        <v>1984</v>
      </c>
    </row>
    <row r="476" spans="1:2" x14ac:dyDescent="0.3">
      <c r="A476" t="s">
        <v>1510</v>
      </c>
      <c r="B476" t="s">
        <v>1985</v>
      </c>
    </row>
    <row r="477" spans="1:2" x14ac:dyDescent="0.3">
      <c r="A477" t="s">
        <v>1510</v>
      </c>
      <c r="B477" t="s">
        <v>1986</v>
      </c>
    </row>
    <row r="478" spans="1:2" x14ac:dyDescent="0.3">
      <c r="A478" t="s">
        <v>1510</v>
      </c>
      <c r="B478" t="s">
        <v>1987</v>
      </c>
    </row>
    <row r="479" spans="1:2" x14ac:dyDescent="0.3">
      <c r="A479" t="s">
        <v>1510</v>
      </c>
      <c r="B479" t="s">
        <v>1988</v>
      </c>
    </row>
    <row r="480" spans="1:2" x14ac:dyDescent="0.3">
      <c r="A480" t="s">
        <v>1510</v>
      </c>
      <c r="B480" t="s">
        <v>1989</v>
      </c>
    </row>
    <row r="481" spans="1:2" x14ac:dyDescent="0.3">
      <c r="A481" t="s">
        <v>1510</v>
      </c>
      <c r="B481" t="s">
        <v>1990</v>
      </c>
    </row>
    <row r="482" spans="1:2" x14ac:dyDescent="0.3">
      <c r="A482" t="s">
        <v>1510</v>
      </c>
      <c r="B482" t="s">
        <v>1991</v>
      </c>
    </row>
    <row r="483" spans="1:2" x14ac:dyDescent="0.3">
      <c r="A483" t="s">
        <v>1510</v>
      </c>
      <c r="B483" t="s">
        <v>1992</v>
      </c>
    </row>
    <row r="484" spans="1:2" x14ac:dyDescent="0.3">
      <c r="A484" t="s">
        <v>1510</v>
      </c>
      <c r="B484" t="s">
        <v>1993</v>
      </c>
    </row>
    <row r="485" spans="1:2" x14ac:dyDescent="0.3">
      <c r="A485" t="s">
        <v>1510</v>
      </c>
      <c r="B485" t="s">
        <v>1994</v>
      </c>
    </row>
    <row r="486" spans="1:2" x14ac:dyDescent="0.3">
      <c r="A486" t="s">
        <v>1510</v>
      </c>
      <c r="B486" t="s">
        <v>1995</v>
      </c>
    </row>
    <row r="487" spans="1:2" x14ac:dyDescent="0.3">
      <c r="A487" t="s">
        <v>1510</v>
      </c>
      <c r="B487" t="s">
        <v>1996</v>
      </c>
    </row>
    <row r="488" spans="1:2" x14ac:dyDescent="0.3">
      <c r="A488" t="s">
        <v>1510</v>
      </c>
      <c r="B488" t="s">
        <v>1997</v>
      </c>
    </row>
    <row r="489" spans="1:2" x14ac:dyDescent="0.3">
      <c r="A489" t="s">
        <v>1510</v>
      </c>
      <c r="B489" t="s">
        <v>1998</v>
      </c>
    </row>
    <row r="490" spans="1:2" x14ac:dyDescent="0.3">
      <c r="A490" t="s">
        <v>1510</v>
      </c>
      <c r="B490" t="s">
        <v>1999</v>
      </c>
    </row>
    <row r="491" spans="1:2" x14ac:dyDescent="0.3">
      <c r="A491" t="s">
        <v>1510</v>
      </c>
      <c r="B491" t="s">
        <v>2000</v>
      </c>
    </row>
    <row r="492" spans="1:2" x14ac:dyDescent="0.3">
      <c r="A492" t="s">
        <v>1510</v>
      </c>
      <c r="B492" t="s">
        <v>2001</v>
      </c>
    </row>
    <row r="493" spans="1:2" x14ac:dyDescent="0.3">
      <c r="A493" t="s">
        <v>1510</v>
      </c>
      <c r="B493" t="s">
        <v>2002</v>
      </c>
    </row>
    <row r="494" spans="1:2" x14ac:dyDescent="0.3">
      <c r="A494" t="s">
        <v>1510</v>
      </c>
      <c r="B494" t="s">
        <v>2003</v>
      </c>
    </row>
    <row r="495" spans="1:2" x14ac:dyDescent="0.3">
      <c r="A495" t="s">
        <v>1510</v>
      </c>
      <c r="B495" t="s">
        <v>2004</v>
      </c>
    </row>
    <row r="496" spans="1:2" x14ac:dyDescent="0.3">
      <c r="A496" t="s">
        <v>1510</v>
      </c>
      <c r="B496" t="s">
        <v>2005</v>
      </c>
    </row>
    <row r="497" spans="1:2" x14ac:dyDescent="0.3">
      <c r="A497" t="s">
        <v>1510</v>
      </c>
      <c r="B497" t="s">
        <v>2006</v>
      </c>
    </row>
    <row r="498" spans="1:2" x14ac:dyDescent="0.3">
      <c r="A498" t="s">
        <v>1510</v>
      </c>
      <c r="B498" t="s">
        <v>2007</v>
      </c>
    </row>
    <row r="499" spans="1:2" x14ac:dyDescent="0.3">
      <c r="A499" t="s">
        <v>1510</v>
      </c>
      <c r="B499" t="s">
        <v>2008</v>
      </c>
    </row>
    <row r="500" spans="1:2" x14ac:dyDescent="0.3">
      <c r="A500" t="s">
        <v>1510</v>
      </c>
      <c r="B500" t="s">
        <v>2009</v>
      </c>
    </row>
    <row r="501" spans="1:2" x14ac:dyDescent="0.3">
      <c r="A501" t="s">
        <v>1510</v>
      </c>
      <c r="B501" t="s">
        <v>2010</v>
      </c>
    </row>
    <row r="502" spans="1:2" x14ac:dyDescent="0.3">
      <c r="A502" t="s">
        <v>1510</v>
      </c>
      <c r="B502" t="s">
        <v>2011</v>
      </c>
    </row>
    <row r="503" spans="1:2" x14ac:dyDescent="0.3">
      <c r="A503" t="s">
        <v>1510</v>
      </c>
      <c r="B503" t="s">
        <v>2012</v>
      </c>
    </row>
    <row r="504" spans="1:2" x14ac:dyDescent="0.3">
      <c r="A504" t="s">
        <v>1510</v>
      </c>
      <c r="B504" t="s">
        <v>2013</v>
      </c>
    </row>
    <row r="505" spans="1:2" x14ac:dyDescent="0.3">
      <c r="A505" t="s">
        <v>1510</v>
      </c>
      <c r="B505" t="s">
        <v>2014</v>
      </c>
    </row>
    <row r="506" spans="1:2" x14ac:dyDescent="0.3">
      <c r="A506" t="s">
        <v>1510</v>
      </c>
      <c r="B506" t="s">
        <v>2015</v>
      </c>
    </row>
    <row r="507" spans="1:2" x14ac:dyDescent="0.3">
      <c r="A507" t="s">
        <v>1510</v>
      </c>
      <c r="B507" t="s">
        <v>2016</v>
      </c>
    </row>
    <row r="508" spans="1:2" x14ac:dyDescent="0.3">
      <c r="A508" t="s">
        <v>1510</v>
      </c>
      <c r="B508" t="s">
        <v>2017</v>
      </c>
    </row>
    <row r="509" spans="1:2" x14ac:dyDescent="0.3">
      <c r="A509" t="s">
        <v>1510</v>
      </c>
      <c r="B509" t="s">
        <v>2018</v>
      </c>
    </row>
    <row r="510" spans="1:2" x14ac:dyDescent="0.3">
      <c r="A510" t="s">
        <v>1510</v>
      </c>
      <c r="B510" t="s">
        <v>2019</v>
      </c>
    </row>
    <row r="511" spans="1:2" x14ac:dyDescent="0.3">
      <c r="A511" t="s">
        <v>1510</v>
      </c>
      <c r="B511" t="s">
        <v>2020</v>
      </c>
    </row>
    <row r="512" spans="1:2" x14ac:dyDescent="0.3">
      <c r="A512" t="s">
        <v>1510</v>
      </c>
      <c r="B512" t="s">
        <v>2021</v>
      </c>
    </row>
    <row r="513" spans="1:2" x14ac:dyDescent="0.3">
      <c r="A513" t="s">
        <v>1510</v>
      </c>
      <c r="B513" t="s">
        <v>2022</v>
      </c>
    </row>
    <row r="514" spans="1:2" x14ac:dyDescent="0.3">
      <c r="A514" t="s">
        <v>1510</v>
      </c>
      <c r="B514" t="s">
        <v>2023</v>
      </c>
    </row>
    <row r="515" spans="1:2" x14ac:dyDescent="0.3">
      <c r="A515" t="s">
        <v>1510</v>
      </c>
      <c r="B515" t="s">
        <v>2024</v>
      </c>
    </row>
    <row r="516" spans="1:2" x14ac:dyDescent="0.3">
      <c r="A516" t="s">
        <v>1510</v>
      </c>
      <c r="B516" t="s">
        <v>2025</v>
      </c>
    </row>
    <row r="517" spans="1:2" x14ac:dyDescent="0.3">
      <c r="A517" t="s">
        <v>1510</v>
      </c>
      <c r="B517" t="s">
        <v>2026</v>
      </c>
    </row>
    <row r="518" spans="1:2" x14ac:dyDescent="0.3">
      <c r="A518" t="s">
        <v>1510</v>
      </c>
      <c r="B518" t="s">
        <v>2027</v>
      </c>
    </row>
    <row r="519" spans="1:2" x14ac:dyDescent="0.3">
      <c r="A519" t="s">
        <v>1510</v>
      </c>
      <c r="B519" t="s">
        <v>2028</v>
      </c>
    </row>
    <row r="520" spans="1:2" x14ac:dyDescent="0.3">
      <c r="A520" t="s">
        <v>1510</v>
      </c>
      <c r="B520" t="s">
        <v>2029</v>
      </c>
    </row>
    <row r="521" spans="1:2" x14ac:dyDescent="0.3">
      <c r="A521" t="s">
        <v>1510</v>
      </c>
      <c r="B521" t="s">
        <v>2030</v>
      </c>
    </row>
    <row r="522" spans="1:2" x14ac:dyDescent="0.3">
      <c r="A522" t="s">
        <v>1510</v>
      </c>
      <c r="B522" t="s">
        <v>2031</v>
      </c>
    </row>
    <row r="523" spans="1:2" x14ac:dyDescent="0.3">
      <c r="A523" t="s">
        <v>1510</v>
      </c>
      <c r="B523" t="s">
        <v>2032</v>
      </c>
    </row>
    <row r="524" spans="1:2" x14ac:dyDescent="0.3">
      <c r="A524" t="s">
        <v>1510</v>
      </c>
      <c r="B524" t="s">
        <v>2033</v>
      </c>
    </row>
    <row r="525" spans="1:2" x14ac:dyDescent="0.3">
      <c r="A525" t="s">
        <v>1510</v>
      </c>
      <c r="B525" t="s">
        <v>2034</v>
      </c>
    </row>
    <row r="526" spans="1:2" x14ac:dyDescent="0.3">
      <c r="A526" t="s">
        <v>1510</v>
      </c>
      <c r="B526" t="s">
        <v>2035</v>
      </c>
    </row>
    <row r="527" spans="1:2" x14ac:dyDescent="0.3">
      <c r="A527" t="s">
        <v>1510</v>
      </c>
      <c r="B527" t="s">
        <v>2036</v>
      </c>
    </row>
    <row r="528" spans="1:2" x14ac:dyDescent="0.3">
      <c r="A528" t="s">
        <v>1510</v>
      </c>
      <c r="B528" t="s">
        <v>2037</v>
      </c>
    </row>
    <row r="529" spans="1:2" x14ac:dyDescent="0.3">
      <c r="A529" t="s">
        <v>1510</v>
      </c>
      <c r="B529" t="s">
        <v>2038</v>
      </c>
    </row>
    <row r="530" spans="1:2" x14ac:dyDescent="0.3">
      <c r="A530" t="s">
        <v>1510</v>
      </c>
      <c r="B530" t="s">
        <v>2039</v>
      </c>
    </row>
    <row r="531" spans="1:2" x14ac:dyDescent="0.3">
      <c r="A531" t="s">
        <v>1510</v>
      </c>
      <c r="B531" t="s">
        <v>2040</v>
      </c>
    </row>
    <row r="532" spans="1:2" x14ac:dyDescent="0.3">
      <c r="A532" t="s">
        <v>1510</v>
      </c>
      <c r="B532" t="s">
        <v>2041</v>
      </c>
    </row>
    <row r="533" spans="1:2" x14ac:dyDescent="0.3">
      <c r="A533" t="s">
        <v>1510</v>
      </c>
      <c r="B533" t="s">
        <v>2042</v>
      </c>
    </row>
    <row r="534" spans="1:2" x14ac:dyDescent="0.3">
      <c r="A534" t="s">
        <v>1510</v>
      </c>
      <c r="B534" t="s">
        <v>2043</v>
      </c>
    </row>
    <row r="535" spans="1:2" x14ac:dyDescent="0.3">
      <c r="A535" t="s">
        <v>1510</v>
      </c>
      <c r="B535" t="s">
        <v>2044</v>
      </c>
    </row>
    <row r="536" spans="1:2" x14ac:dyDescent="0.3">
      <c r="A536" t="s">
        <v>1510</v>
      </c>
      <c r="B536" t="s">
        <v>2045</v>
      </c>
    </row>
    <row r="537" spans="1:2" x14ac:dyDescent="0.3">
      <c r="A537" t="s">
        <v>1510</v>
      </c>
      <c r="B537" t="s">
        <v>2046</v>
      </c>
    </row>
    <row r="538" spans="1:2" x14ac:dyDescent="0.3">
      <c r="A538" t="s">
        <v>1510</v>
      </c>
      <c r="B538" t="s">
        <v>2047</v>
      </c>
    </row>
    <row r="539" spans="1:2" x14ac:dyDescent="0.3">
      <c r="A539" t="s">
        <v>1510</v>
      </c>
      <c r="B539" t="s">
        <v>2048</v>
      </c>
    </row>
    <row r="540" spans="1:2" x14ac:dyDescent="0.3">
      <c r="A540" t="s">
        <v>1510</v>
      </c>
      <c r="B540" t="s">
        <v>2049</v>
      </c>
    </row>
    <row r="541" spans="1:2" x14ac:dyDescent="0.3">
      <c r="A541" t="s">
        <v>1510</v>
      </c>
      <c r="B541" t="s">
        <v>2050</v>
      </c>
    </row>
    <row r="542" spans="1:2" x14ac:dyDescent="0.3">
      <c r="A542" t="s">
        <v>1510</v>
      </c>
      <c r="B542" t="s">
        <v>2051</v>
      </c>
    </row>
    <row r="543" spans="1:2" x14ac:dyDescent="0.3">
      <c r="A543" t="s">
        <v>1510</v>
      </c>
      <c r="B543" t="s">
        <v>2052</v>
      </c>
    </row>
    <row r="544" spans="1:2" x14ac:dyDescent="0.3">
      <c r="A544" t="s">
        <v>1510</v>
      </c>
      <c r="B544" t="s">
        <v>2053</v>
      </c>
    </row>
    <row r="545" spans="1:2" x14ac:dyDescent="0.3">
      <c r="A545" t="s">
        <v>1510</v>
      </c>
      <c r="B545" t="s">
        <v>2054</v>
      </c>
    </row>
    <row r="546" spans="1:2" x14ac:dyDescent="0.3">
      <c r="A546" t="s">
        <v>1510</v>
      </c>
      <c r="B546" t="s">
        <v>2055</v>
      </c>
    </row>
    <row r="547" spans="1:2" x14ac:dyDescent="0.3">
      <c r="A547" t="s">
        <v>1510</v>
      </c>
      <c r="B547" t="s">
        <v>2056</v>
      </c>
    </row>
    <row r="548" spans="1:2" x14ac:dyDescent="0.3">
      <c r="A548" t="s">
        <v>1510</v>
      </c>
      <c r="B548" t="s">
        <v>2057</v>
      </c>
    </row>
    <row r="549" spans="1:2" x14ac:dyDescent="0.3">
      <c r="A549" t="s">
        <v>1510</v>
      </c>
      <c r="B549" t="s">
        <v>2058</v>
      </c>
    </row>
    <row r="550" spans="1:2" x14ac:dyDescent="0.3">
      <c r="A550" t="s">
        <v>1510</v>
      </c>
      <c r="B550" t="s">
        <v>2059</v>
      </c>
    </row>
    <row r="551" spans="1:2" x14ac:dyDescent="0.3">
      <c r="A551" t="s">
        <v>1510</v>
      </c>
      <c r="B551" t="s">
        <v>2060</v>
      </c>
    </row>
    <row r="552" spans="1:2" x14ac:dyDescent="0.3">
      <c r="A552" t="s">
        <v>1510</v>
      </c>
      <c r="B552" t="s">
        <v>2061</v>
      </c>
    </row>
    <row r="553" spans="1:2" x14ac:dyDescent="0.3">
      <c r="A553" t="s">
        <v>1510</v>
      </c>
      <c r="B553" t="s">
        <v>2062</v>
      </c>
    </row>
    <row r="554" spans="1:2" x14ac:dyDescent="0.3">
      <c r="A554" t="s">
        <v>1510</v>
      </c>
      <c r="B554" t="s">
        <v>2063</v>
      </c>
    </row>
    <row r="555" spans="1:2" x14ac:dyDescent="0.3">
      <c r="A555" t="s">
        <v>1510</v>
      </c>
      <c r="B555" t="s">
        <v>2064</v>
      </c>
    </row>
    <row r="556" spans="1:2" x14ac:dyDescent="0.3">
      <c r="A556" t="s">
        <v>1510</v>
      </c>
      <c r="B556" t="s">
        <v>2065</v>
      </c>
    </row>
    <row r="557" spans="1:2" x14ac:dyDescent="0.3">
      <c r="A557" t="s">
        <v>1510</v>
      </c>
      <c r="B557" t="s">
        <v>2066</v>
      </c>
    </row>
    <row r="558" spans="1:2" x14ac:dyDescent="0.3">
      <c r="A558" t="s">
        <v>1510</v>
      </c>
      <c r="B558" t="s">
        <v>2067</v>
      </c>
    </row>
    <row r="559" spans="1:2" x14ac:dyDescent="0.3">
      <c r="A559" t="s">
        <v>1510</v>
      </c>
      <c r="B559" t="s">
        <v>2068</v>
      </c>
    </row>
    <row r="560" spans="1:2" x14ac:dyDescent="0.3">
      <c r="A560" t="s">
        <v>1510</v>
      </c>
      <c r="B560" t="s">
        <v>2069</v>
      </c>
    </row>
    <row r="561" spans="1:2" x14ac:dyDescent="0.3">
      <c r="A561" t="s">
        <v>1510</v>
      </c>
      <c r="B561" t="s">
        <v>2070</v>
      </c>
    </row>
    <row r="562" spans="1:2" x14ac:dyDescent="0.3">
      <c r="A562" t="s">
        <v>1510</v>
      </c>
      <c r="B562" t="s">
        <v>2071</v>
      </c>
    </row>
    <row r="563" spans="1:2" x14ac:dyDescent="0.3">
      <c r="A563" t="s">
        <v>1510</v>
      </c>
      <c r="B563" t="s">
        <v>2072</v>
      </c>
    </row>
    <row r="564" spans="1:2" x14ac:dyDescent="0.3">
      <c r="A564" t="s">
        <v>1510</v>
      </c>
      <c r="B564" t="s">
        <v>2073</v>
      </c>
    </row>
    <row r="565" spans="1:2" x14ac:dyDescent="0.3">
      <c r="A565" t="s">
        <v>1510</v>
      </c>
      <c r="B565" t="s">
        <v>2074</v>
      </c>
    </row>
    <row r="566" spans="1:2" x14ac:dyDescent="0.3">
      <c r="A566" t="s">
        <v>1510</v>
      </c>
      <c r="B566" t="s">
        <v>2075</v>
      </c>
    </row>
    <row r="567" spans="1:2" x14ac:dyDescent="0.3">
      <c r="A567" t="s">
        <v>1510</v>
      </c>
      <c r="B567" t="s">
        <v>2076</v>
      </c>
    </row>
    <row r="568" spans="1:2" x14ac:dyDescent="0.3">
      <c r="A568" t="s">
        <v>1510</v>
      </c>
      <c r="B568" t="s">
        <v>2077</v>
      </c>
    </row>
    <row r="569" spans="1:2" x14ac:dyDescent="0.3">
      <c r="A569" t="s">
        <v>1510</v>
      </c>
      <c r="B569" t="s">
        <v>2078</v>
      </c>
    </row>
    <row r="570" spans="1:2" x14ac:dyDescent="0.3">
      <c r="A570" t="s">
        <v>1510</v>
      </c>
      <c r="B570" t="s">
        <v>2079</v>
      </c>
    </row>
    <row r="571" spans="1:2" x14ac:dyDescent="0.3">
      <c r="A571" t="s">
        <v>1510</v>
      </c>
      <c r="B571" t="s">
        <v>2080</v>
      </c>
    </row>
    <row r="572" spans="1:2" x14ac:dyDescent="0.3">
      <c r="A572" t="s">
        <v>1510</v>
      </c>
      <c r="B572" t="s">
        <v>2081</v>
      </c>
    </row>
    <row r="573" spans="1:2" x14ac:dyDescent="0.3">
      <c r="A573" t="s">
        <v>1510</v>
      </c>
      <c r="B573" t="s">
        <v>2082</v>
      </c>
    </row>
    <row r="574" spans="1:2" x14ac:dyDescent="0.3">
      <c r="A574" t="s">
        <v>1510</v>
      </c>
      <c r="B574" t="s">
        <v>2083</v>
      </c>
    </row>
    <row r="575" spans="1:2" x14ac:dyDescent="0.3">
      <c r="A575" t="s">
        <v>1510</v>
      </c>
      <c r="B575" t="s">
        <v>2084</v>
      </c>
    </row>
    <row r="576" spans="1:2" x14ac:dyDescent="0.3">
      <c r="A576" t="s">
        <v>1510</v>
      </c>
      <c r="B576" t="s">
        <v>2085</v>
      </c>
    </row>
    <row r="577" spans="1:2" x14ac:dyDescent="0.3">
      <c r="A577" t="s">
        <v>1510</v>
      </c>
      <c r="B577" t="s">
        <v>2086</v>
      </c>
    </row>
    <row r="578" spans="1:2" x14ac:dyDescent="0.3">
      <c r="A578" t="s">
        <v>1510</v>
      </c>
      <c r="B578" t="s">
        <v>2087</v>
      </c>
    </row>
    <row r="579" spans="1:2" x14ac:dyDescent="0.3">
      <c r="A579" t="s">
        <v>1510</v>
      </c>
      <c r="B579" t="s">
        <v>2088</v>
      </c>
    </row>
    <row r="580" spans="1:2" x14ac:dyDescent="0.3">
      <c r="A580" t="s">
        <v>1510</v>
      </c>
      <c r="B580" t="s">
        <v>2089</v>
      </c>
    </row>
    <row r="581" spans="1:2" x14ac:dyDescent="0.3">
      <c r="A581" t="s">
        <v>1510</v>
      </c>
      <c r="B581" t="s">
        <v>2090</v>
      </c>
    </row>
    <row r="582" spans="1:2" x14ac:dyDescent="0.3">
      <c r="A582" t="s">
        <v>1510</v>
      </c>
      <c r="B582" t="s">
        <v>2091</v>
      </c>
    </row>
    <row r="583" spans="1:2" x14ac:dyDescent="0.3">
      <c r="A583" t="s">
        <v>1510</v>
      </c>
      <c r="B583" t="s">
        <v>2092</v>
      </c>
    </row>
    <row r="584" spans="1:2" x14ac:dyDescent="0.3">
      <c r="A584" t="s">
        <v>1510</v>
      </c>
      <c r="B584" t="s">
        <v>2093</v>
      </c>
    </row>
    <row r="585" spans="1:2" x14ac:dyDescent="0.3">
      <c r="A585" t="s">
        <v>1510</v>
      </c>
      <c r="B585" t="s">
        <v>2094</v>
      </c>
    </row>
    <row r="586" spans="1:2" x14ac:dyDescent="0.3">
      <c r="A586" t="s">
        <v>1510</v>
      </c>
      <c r="B586" t="s">
        <v>2095</v>
      </c>
    </row>
    <row r="587" spans="1:2" x14ac:dyDescent="0.3">
      <c r="A587" t="s">
        <v>1510</v>
      </c>
      <c r="B587" t="s">
        <v>2096</v>
      </c>
    </row>
    <row r="588" spans="1:2" x14ac:dyDescent="0.3">
      <c r="A588" t="s">
        <v>1510</v>
      </c>
      <c r="B588" t="s">
        <v>2097</v>
      </c>
    </row>
    <row r="589" spans="1:2" x14ac:dyDescent="0.3">
      <c r="A589" t="s">
        <v>1510</v>
      </c>
      <c r="B589" t="s">
        <v>2098</v>
      </c>
    </row>
    <row r="590" spans="1:2" x14ac:dyDescent="0.3">
      <c r="A590" t="s">
        <v>1510</v>
      </c>
      <c r="B590" t="s">
        <v>2099</v>
      </c>
    </row>
    <row r="591" spans="1:2" x14ac:dyDescent="0.3">
      <c r="A591" t="s">
        <v>1510</v>
      </c>
      <c r="B591" t="s">
        <v>2100</v>
      </c>
    </row>
    <row r="592" spans="1:2" x14ac:dyDescent="0.3">
      <c r="A592" t="s">
        <v>1510</v>
      </c>
      <c r="B592" t="s">
        <v>2101</v>
      </c>
    </row>
    <row r="593" spans="1:2" x14ac:dyDescent="0.3">
      <c r="A593" t="s">
        <v>1510</v>
      </c>
      <c r="B593" t="s">
        <v>2102</v>
      </c>
    </row>
    <row r="594" spans="1:2" x14ac:dyDescent="0.3">
      <c r="A594" t="s">
        <v>1510</v>
      </c>
      <c r="B594" t="s">
        <v>2103</v>
      </c>
    </row>
    <row r="595" spans="1:2" x14ac:dyDescent="0.3">
      <c r="A595" t="s">
        <v>1510</v>
      </c>
      <c r="B595" t="s">
        <v>2104</v>
      </c>
    </row>
    <row r="596" spans="1:2" x14ac:dyDescent="0.3">
      <c r="A596" t="s">
        <v>1510</v>
      </c>
      <c r="B596" t="s">
        <v>2105</v>
      </c>
    </row>
    <row r="597" spans="1:2" x14ac:dyDescent="0.3">
      <c r="A597" t="s">
        <v>1510</v>
      </c>
      <c r="B597" t="s">
        <v>2106</v>
      </c>
    </row>
    <row r="598" spans="1:2" x14ac:dyDescent="0.3">
      <c r="A598" t="s">
        <v>1510</v>
      </c>
      <c r="B598" t="s">
        <v>2107</v>
      </c>
    </row>
    <row r="599" spans="1:2" x14ac:dyDescent="0.3">
      <c r="A599" t="s">
        <v>1510</v>
      </c>
      <c r="B599" t="s">
        <v>2108</v>
      </c>
    </row>
    <row r="600" spans="1:2" x14ac:dyDescent="0.3">
      <c r="A600" t="s">
        <v>1510</v>
      </c>
      <c r="B600" t="s">
        <v>2109</v>
      </c>
    </row>
    <row r="601" spans="1:2" x14ac:dyDescent="0.3">
      <c r="A601" t="s">
        <v>1510</v>
      </c>
      <c r="B601" t="s">
        <v>2110</v>
      </c>
    </row>
    <row r="602" spans="1:2" x14ac:dyDescent="0.3">
      <c r="A602" t="s">
        <v>1510</v>
      </c>
      <c r="B602" t="s">
        <v>2111</v>
      </c>
    </row>
    <row r="603" spans="1:2" x14ac:dyDescent="0.3">
      <c r="A603" t="s">
        <v>1510</v>
      </c>
      <c r="B603" t="s">
        <v>2112</v>
      </c>
    </row>
    <row r="604" spans="1:2" x14ac:dyDescent="0.3">
      <c r="A604" t="s">
        <v>1510</v>
      </c>
      <c r="B604" t="s">
        <v>2113</v>
      </c>
    </row>
    <row r="605" spans="1:2" x14ac:dyDescent="0.3">
      <c r="A605" t="s">
        <v>1510</v>
      </c>
      <c r="B605" t="s">
        <v>2114</v>
      </c>
    </row>
    <row r="606" spans="1:2" x14ac:dyDescent="0.3">
      <c r="A606" t="s">
        <v>1510</v>
      </c>
      <c r="B606" t="s">
        <v>2115</v>
      </c>
    </row>
    <row r="607" spans="1:2" x14ac:dyDescent="0.3">
      <c r="A607" t="s">
        <v>1510</v>
      </c>
      <c r="B607" t="s">
        <v>2116</v>
      </c>
    </row>
    <row r="608" spans="1:2" x14ac:dyDescent="0.3">
      <c r="A608" t="s">
        <v>1510</v>
      </c>
      <c r="B608" t="s">
        <v>2117</v>
      </c>
    </row>
    <row r="609" spans="1:2" x14ac:dyDescent="0.3">
      <c r="A609" t="s">
        <v>1510</v>
      </c>
      <c r="B609" t="s">
        <v>2118</v>
      </c>
    </row>
    <row r="610" spans="1:2" x14ac:dyDescent="0.3">
      <c r="A610" t="s">
        <v>1510</v>
      </c>
      <c r="B610" t="s">
        <v>2119</v>
      </c>
    </row>
    <row r="611" spans="1:2" x14ac:dyDescent="0.3">
      <c r="A611" t="s">
        <v>1510</v>
      </c>
      <c r="B611" t="s">
        <v>2120</v>
      </c>
    </row>
    <row r="612" spans="1:2" x14ac:dyDescent="0.3">
      <c r="A612" t="s">
        <v>1510</v>
      </c>
      <c r="B612" t="s">
        <v>2121</v>
      </c>
    </row>
    <row r="613" spans="1:2" x14ac:dyDescent="0.3">
      <c r="A613" t="s">
        <v>1510</v>
      </c>
      <c r="B613" t="s">
        <v>2122</v>
      </c>
    </row>
    <row r="614" spans="1:2" x14ac:dyDescent="0.3">
      <c r="A614" t="s">
        <v>1510</v>
      </c>
      <c r="B614" t="s">
        <v>2123</v>
      </c>
    </row>
    <row r="615" spans="1:2" x14ac:dyDescent="0.3">
      <c r="A615" t="s">
        <v>1510</v>
      </c>
      <c r="B615" t="s">
        <v>2124</v>
      </c>
    </row>
    <row r="616" spans="1:2" x14ac:dyDescent="0.3">
      <c r="A616" t="s">
        <v>1510</v>
      </c>
      <c r="B616" t="s">
        <v>2125</v>
      </c>
    </row>
    <row r="617" spans="1:2" x14ac:dyDescent="0.3">
      <c r="A617" t="s">
        <v>1510</v>
      </c>
      <c r="B617" t="s">
        <v>2126</v>
      </c>
    </row>
    <row r="618" spans="1:2" x14ac:dyDescent="0.3">
      <c r="A618" t="s">
        <v>1510</v>
      </c>
      <c r="B618" t="s">
        <v>2127</v>
      </c>
    </row>
    <row r="619" spans="1:2" x14ac:dyDescent="0.3">
      <c r="A619" t="s">
        <v>1510</v>
      </c>
      <c r="B619" t="s">
        <v>2128</v>
      </c>
    </row>
    <row r="620" spans="1:2" x14ac:dyDescent="0.3">
      <c r="A620" t="s">
        <v>1510</v>
      </c>
      <c r="B620" t="s">
        <v>2129</v>
      </c>
    </row>
    <row r="621" spans="1:2" x14ac:dyDescent="0.3">
      <c r="A621" t="s">
        <v>1510</v>
      </c>
      <c r="B621" t="s">
        <v>2130</v>
      </c>
    </row>
    <row r="622" spans="1:2" x14ac:dyDescent="0.3">
      <c r="A622" t="s">
        <v>1510</v>
      </c>
      <c r="B622" t="s">
        <v>2131</v>
      </c>
    </row>
    <row r="623" spans="1:2" x14ac:dyDescent="0.3">
      <c r="A623" t="s">
        <v>1510</v>
      </c>
      <c r="B623" t="s">
        <v>2132</v>
      </c>
    </row>
    <row r="624" spans="1:2" x14ac:dyDescent="0.3">
      <c r="A624" t="s">
        <v>1510</v>
      </c>
      <c r="B624" t="s">
        <v>2133</v>
      </c>
    </row>
    <row r="625" spans="1:2" x14ac:dyDescent="0.3">
      <c r="A625" t="s">
        <v>1510</v>
      </c>
      <c r="B625" t="s">
        <v>2134</v>
      </c>
    </row>
    <row r="626" spans="1:2" x14ac:dyDescent="0.3">
      <c r="A626" t="s">
        <v>1510</v>
      </c>
      <c r="B626" t="s">
        <v>2135</v>
      </c>
    </row>
    <row r="627" spans="1:2" x14ac:dyDescent="0.3">
      <c r="A627" t="s">
        <v>1510</v>
      </c>
      <c r="B627" t="s">
        <v>2136</v>
      </c>
    </row>
    <row r="628" spans="1:2" x14ac:dyDescent="0.3">
      <c r="A628" t="s">
        <v>1510</v>
      </c>
      <c r="B628" t="s">
        <v>2137</v>
      </c>
    </row>
    <row r="629" spans="1:2" x14ac:dyDescent="0.3">
      <c r="A629" t="s">
        <v>1510</v>
      </c>
      <c r="B629" t="s">
        <v>2138</v>
      </c>
    </row>
    <row r="630" spans="1:2" x14ac:dyDescent="0.3">
      <c r="A630" t="s">
        <v>1510</v>
      </c>
      <c r="B630" t="s">
        <v>2139</v>
      </c>
    </row>
    <row r="631" spans="1:2" x14ac:dyDescent="0.3">
      <c r="A631" t="s">
        <v>1510</v>
      </c>
      <c r="B631" t="s">
        <v>2140</v>
      </c>
    </row>
    <row r="632" spans="1:2" x14ac:dyDescent="0.3">
      <c r="A632" t="s">
        <v>1510</v>
      </c>
      <c r="B632" t="s">
        <v>2141</v>
      </c>
    </row>
    <row r="633" spans="1:2" x14ac:dyDescent="0.3">
      <c r="A633" t="s">
        <v>1510</v>
      </c>
      <c r="B633" t="s">
        <v>2142</v>
      </c>
    </row>
    <row r="634" spans="1:2" x14ac:dyDescent="0.3">
      <c r="A634" t="s">
        <v>1510</v>
      </c>
      <c r="B634" t="s">
        <v>2143</v>
      </c>
    </row>
    <row r="635" spans="1:2" x14ac:dyDescent="0.3">
      <c r="A635" t="s">
        <v>1510</v>
      </c>
      <c r="B635" t="s">
        <v>2144</v>
      </c>
    </row>
    <row r="636" spans="1:2" x14ac:dyDescent="0.3">
      <c r="A636" t="s">
        <v>1510</v>
      </c>
      <c r="B636" t="s">
        <v>2145</v>
      </c>
    </row>
    <row r="637" spans="1:2" x14ac:dyDescent="0.3">
      <c r="A637" t="s">
        <v>1510</v>
      </c>
      <c r="B637" t="s">
        <v>2146</v>
      </c>
    </row>
    <row r="638" spans="1:2" x14ac:dyDescent="0.3">
      <c r="A638" t="s">
        <v>1510</v>
      </c>
      <c r="B638" t="s">
        <v>2147</v>
      </c>
    </row>
    <row r="639" spans="1:2" x14ac:dyDescent="0.3">
      <c r="A639" t="s">
        <v>1510</v>
      </c>
      <c r="B639" t="s">
        <v>2148</v>
      </c>
    </row>
    <row r="640" spans="1:2" x14ac:dyDescent="0.3">
      <c r="A640" t="s">
        <v>1510</v>
      </c>
      <c r="B640" t="s">
        <v>2149</v>
      </c>
    </row>
    <row r="641" spans="1:2" x14ac:dyDescent="0.3">
      <c r="A641" t="s">
        <v>1510</v>
      </c>
      <c r="B641" t="s">
        <v>2150</v>
      </c>
    </row>
    <row r="642" spans="1:2" x14ac:dyDescent="0.3">
      <c r="A642" t="s">
        <v>1510</v>
      </c>
      <c r="B642" t="s">
        <v>2151</v>
      </c>
    </row>
    <row r="643" spans="1:2" x14ac:dyDescent="0.3">
      <c r="A643" t="s">
        <v>1510</v>
      </c>
      <c r="B643" t="s">
        <v>2152</v>
      </c>
    </row>
    <row r="644" spans="1:2" x14ac:dyDescent="0.3">
      <c r="A644" t="s">
        <v>1510</v>
      </c>
      <c r="B644" t="s">
        <v>2153</v>
      </c>
    </row>
    <row r="645" spans="1:2" x14ac:dyDescent="0.3">
      <c r="A645" t="s">
        <v>1510</v>
      </c>
      <c r="B645" t="s">
        <v>2154</v>
      </c>
    </row>
    <row r="646" spans="1:2" x14ac:dyDescent="0.3">
      <c r="A646" t="s">
        <v>1510</v>
      </c>
      <c r="B646" t="s">
        <v>2155</v>
      </c>
    </row>
    <row r="647" spans="1:2" x14ac:dyDescent="0.3">
      <c r="A647" t="s">
        <v>2156</v>
      </c>
      <c r="B647" t="s">
        <v>2157</v>
      </c>
    </row>
    <row r="648" spans="1:2" x14ac:dyDescent="0.3">
      <c r="A648" t="s">
        <v>2156</v>
      </c>
      <c r="B648" t="s">
        <v>2158</v>
      </c>
    </row>
    <row r="649" spans="1:2" x14ac:dyDescent="0.3">
      <c r="A649" t="s">
        <v>2156</v>
      </c>
      <c r="B649" t="s">
        <v>2159</v>
      </c>
    </row>
    <row r="650" spans="1:2" x14ac:dyDescent="0.3">
      <c r="A650" t="s">
        <v>2156</v>
      </c>
      <c r="B650" t="s">
        <v>2160</v>
      </c>
    </row>
    <row r="651" spans="1:2" x14ac:dyDescent="0.3">
      <c r="A651" t="s">
        <v>2156</v>
      </c>
      <c r="B651" t="s">
        <v>2161</v>
      </c>
    </row>
    <row r="652" spans="1:2" x14ac:dyDescent="0.3">
      <c r="A652" t="s">
        <v>2156</v>
      </c>
      <c r="B652" t="s">
        <v>2162</v>
      </c>
    </row>
    <row r="653" spans="1:2" x14ac:dyDescent="0.3">
      <c r="A653" t="s">
        <v>2156</v>
      </c>
      <c r="B653" t="s">
        <v>2163</v>
      </c>
    </row>
    <row r="654" spans="1:2" x14ac:dyDescent="0.3">
      <c r="A654" t="s">
        <v>2156</v>
      </c>
      <c r="B654" t="s">
        <v>2164</v>
      </c>
    </row>
    <row r="655" spans="1:2" x14ac:dyDescent="0.3">
      <c r="A655" t="s">
        <v>2156</v>
      </c>
      <c r="B655" t="s">
        <v>2165</v>
      </c>
    </row>
    <row r="656" spans="1:2" x14ac:dyDescent="0.3">
      <c r="A656" t="s">
        <v>2156</v>
      </c>
      <c r="B656" t="s">
        <v>2166</v>
      </c>
    </row>
    <row r="657" spans="1:2" x14ac:dyDescent="0.3">
      <c r="A657" t="s">
        <v>2156</v>
      </c>
      <c r="B657" t="s">
        <v>2167</v>
      </c>
    </row>
    <row r="658" spans="1:2" x14ac:dyDescent="0.3">
      <c r="A658" t="s">
        <v>2156</v>
      </c>
      <c r="B658" t="s">
        <v>2168</v>
      </c>
    </row>
    <row r="659" spans="1:2" x14ac:dyDescent="0.3">
      <c r="A659" t="s">
        <v>2156</v>
      </c>
      <c r="B659" t="s">
        <v>2169</v>
      </c>
    </row>
    <row r="660" spans="1:2" x14ac:dyDescent="0.3">
      <c r="A660" t="s">
        <v>2156</v>
      </c>
      <c r="B660" t="s">
        <v>2170</v>
      </c>
    </row>
    <row r="661" spans="1:2" x14ac:dyDescent="0.3">
      <c r="A661" t="s">
        <v>2156</v>
      </c>
      <c r="B661" t="s">
        <v>2171</v>
      </c>
    </row>
    <row r="662" spans="1:2" x14ac:dyDescent="0.3">
      <c r="A662" t="s">
        <v>2156</v>
      </c>
      <c r="B662" t="s">
        <v>2172</v>
      </c>
    </row>
    <row r="663" spans="1:2" x14ac:dyDescent="0.3">
      <c r="A663" t="s">
        <v>2156</v>
      </c>
      <c r="B663" t="s">
        <v>2173</v>
      </c>
    </row>
    <row r="664" spans="1:2" x14ac:dyDescent="0.3">
      <c r="A664" t="s">
        <v>2156</v>
      </c>
      <c r="B664" t="s">
        <v>2174</v>
      </c>
    </row>
    <row r="665" spans="1:2" x14ac:dyDescent="0.3">
      <c r="A665" t="s">
        <v>2156</v>
      </c>
      <c r="B665" t="s">
        <v>2175</v>
      </c>
    </row>
    <row r="666" spans="1:2" x14ac:dyDescent="0.3">
      <c r="A666" t="s">
        <v>2156</v>
      </c>
      <c r="B666" t="s">
        <v>2176</v>
      </c>
    </row>
    <row r="667" spans="1:2" x14ac:dyDescent="0.3">
      <c r="A667" t="s">
        <v>2156</v>
      </c>
      <c r="B667" t="s">
        <v>2177</v>
      </c>
    </row>
    <row r="668" spans="1:2" x14ac:dyDescent="0.3">
      <c r="A668" t="s">
        <v>2156</v>
      </c>
      <c r="B668" t="s">
        <v>2178</v>
      </c>
    </row>
    <row r="669" spans="1:2" x14ac:dyDescent="0.3">
      <c r="A669" t="s">
        <v>2156</v>
      </c>
      <c r="B669" t="s">
        <v>2179</v>
      </c>
    </row>
    <row r="670" spans="1:2" x14ac:dyDescent="0.3">
      <c r="A670" t="s">
        <v>2156</v>
      </c>
      <c r="B670" t="s">
        <v>2180</v>
      </c>
    </row>
    <row r="671" spans="1:2" x14ac:dyDescent="0.3">
      <c r="A671" t="s">
        <v>2156</v>
      </c>
      <c r="B671" t="s">
        <v>2181</v>
      </c>
    </row>
    <row r="672" spans="1:2" x14ac:dyDescent="0.3">
      <c r="A672" t="s">
        <v>2156</v>
      </c>
      <c r="B672" t="s">
        <v>2182</v>
      </c>
    </row>
    <row r="673" spans="1:2" x14ac:dyDescent="0.3">
      <c r="A673" t="s">
        <v>2156</v>
      </c>
      <c r="B673" t="s">
        <v>2183</v>
      </c>
    </row>
    <row r="674" spans="1:2" x14ac:dyDescent="0.3">
      <c r="A674" t="s">
        <v>2156</v>
      </c>
      <c r="B674" t="s">
        <v>2184</v>
      </c>
    </row>
    <row r="675" spans="1:2" x14ac:dyDescent="0.3">
      <c r="A675" t="s">
        <v>2156</v>
      </c>
      <c r="B675" t="s">
        <v>2185</v>
      </c>
    </row>
    <row r="676" spans="1:2" x14ac:dyDescent="0.3">
      <c r="A676" t="s">
        <v>2156</v>
      </c>
      <c r="B676" t="s">
        <v>2186</v>
      </c>
    </row>
    <row r="677" spans="1:2" x14ac:dyDescent="0.3">
      <c r="A677" t="s">
        <v>2156</v>
      </c>
      <c r="B677" t="s">
        <v>2187</v>
      </c>
    </row>
    <row r="678" spans="1:2" x14ac:dyDescent="0.3">
      <c r="A678" t="s">
        <v>2156</v>
      </c>
      <c r="B678" t="s">
        <v>2188</v>
      </c>
    </row>
    <row r="679" spans="1:2" x14ac:dyDescent="0.3">
      <c r="A679" t="s">
        <v>2156</v>
      </c>
      <c r="B679" t="s">
        <v>2189</v>
      </c>
    </row>
    <row r="680" spans="1:2" x14ac:dyDescent="0.3">
      <c r="A680" t="s">
        <v>2156</v>
      </c>
      <c r="B680" t="s">
        <v>2190</v>
      </c>
    </row>
    <row r="681" spans="1:2" x14ac:dyDescent="0.3">
      <c r="A681" t="s">
        <v>2156</v>
      </c>
      <c r="B681" t="s">
        <v>2191</v>
      </c>
    </row>
    <row r="682" spans="1:2" x14ac:dyDescent="0.3">
      <c r="A682" t="s">
        <v>2156</v>
      </c>
      <c r="B682" t="s">
        <v>2192</v>
      </c>
    </row>
    <row r="683" spans="1:2" x14ac:dyDescent="0.3">
      <c r="A683" t="s">
        <v>2156</v>
      </c>
      <c r="B683" t="s">
        <v>2193</v>
      </c>
    </row>
    <row r="684" spans="1:2" x14ac:dyDescent="0.3">
      <c r="A684" t="s">
        <v>2156</v>
      </c>
      <c r="B684" t="s">
        <v>2194</v>
      </c>
    </row>
    <row r="685" spans="1:2" x14ac:dyDescent="0.3">
      <c r="A685" t="s">
        <v>2156</v>
      </c>
      <c r="B685" t="s">
        <v>2195</v>
      </c>
    </row>
    <row r="686" spans="1:2" x14ac:dyDescent="0.3">
      <c r="A686" t="s">
        <v>2156</v>
      </c>
      <c r="B686" t="s">
        <v>2196</v>
      </c>
    </row>
    <row r="687" spans="1:2" x14ac:dyDescent="0.3">
      <c r="A687" t="s">
        <v>2156</v>
      </c>
      <c r="B687" t="s">
        <v>2197</v>
      </c>
    </row>
    <row r="688" spans="1:2" x14ac:dyDescent="0.3">
      <c r="A688" t="s">
        <v>2156</v>
      </c>
      <c r="B688" t="s">
        <v>2198</v>
      </c>
    </row>
    <row r="689" spans="1:2" x14ac:dyDescent="0.3">
      <c r="A689" t="s">
        <v>2156</v>
      </c>
      <c r="B689" t="s">
        <v>2199</v>
      </c>
    </row>
    <row r="690" spans="1:2" x14ac:dyDescent="0.3">
      <c r="A690" t="s">
        <v>2156</v>
      </c>
      <c r="B690" t="s">
        <v>2200</v>
      </c>
    </row>
    <row r="691" spans="1:2" x14ac:dyDescent="0.3">
      <c r="A691" t="s">
        <v>2156</v>
      </c>
      <c r="B691" t="s">
        <v>2201</v>
      </c>
    </row>
    <row r="692" spans="1:2" x14ac:dyDescent="0.3">
      <c r="A692" t="s">
        <v>2156</v>
      </c>
      <c r="B692" t="s">
        <v>2202</v>
      </c>
    </row>
    <row r="693" spans="1:2" x14ac:dyDescent="0.3">
      <c r="A693" t="s">
        <v>2156</v>
      </c>
      <c r="B693" t="s">
        <v>2203</v>
      </c>
    </row>
    <row r="694" spans="1:2" x14ac:dyDescent="0.3">
      <c r="A694" t="s">
        <v>2156</v>
      </c>
      <c r="B694" t="s">
        <v>1610</v>
      </c>
    </row>
    <row r="695" spans="1:2" x14ac:dyDescent="0.3">
      <c r="A695" t="s">
        <v>2156</v>
      </c>
      <c r="B695" t="s">
        <v>2204</v>
      </c>
    </row>
    <row r="696" spans="1:2" x14ac:dyDescent="0.3">
      <c r="A696" t="s">
        <v>2156</v>
      </c>
      <c r="B696" t="s">
        <v>2205</v>
      </c>
    </row>
    <row r="697" spans="1:2" x14ac:dyDescent="0.3">
      <c r="A697" t="s">
        <v>2156</v>
      </c>
      <c r="B697" t="s">
        <v>2206</v>
      </c>
    </row>
    <row r="698" spans="1:2" x14ac:dyDescent="0.3">
      <c r="A698" t="s">
        <v>2156</v>
      </c>
      <c r="B698" t="s">
        <v>2207</v>
      </c>
    </row>
    <row r="699" spans="1:2" x14ac:dyDescent="0.3">
      <c r="A699" t="s">
        <v>2156</v>
      </c>
      <c r="B699" t="s">
        <v>2208</v>
      </c>
    </row>
    <row r="700" spans="1:2" x14ac:dyDescent="0.3">
      <c r="A700" t="s">
        <v>2156</v>
      </c>
      <c r="B700" t="s">
        <v>2209</v>
      </c>
    </row>
    <row r="701" spans="1:2" x14ac:dyDescent="0.3">
      <c r="A701" t="s">
        <v>2156</v>
      </c>
      <c r="B701" t="s">
        <v>2210</v>
      </c>
    </row>
    <row r="702" spans="1:2" x14ac:dyDescent="0.3">
      <c r="A702" t="s">
        <v>2156</v>
      </c>
      <c r="B702" t="s">
        <v>2211</v>
      </c>
    </row>
    <row r="703" spans="1:2" x14ac:dyDescent="0.3">
      <c r="A703" t="s">
        <v>2156</v>
      </c>
      <c r="B703" t="s">
        <v>2212</v>
      </c>
    </row>
    <row r="704" spans="1:2" x14ac:dyDescent="0.3">
      <c r="A704" t="s">
        <v>2156</v>
      </c>
      <c r="B704" t="s">
        <v>2213</v>
      </c>
    </row>
    <row r="705" spans="1:2" x14ac:dyDescent="0.3">
      <c r="A705" t="s">
        <v>2156</v>
      </c>
      <c r="B705" t="s">
        <v>2214</v>
      </c>
    </row>
    <row r="706" spans="1:2" x14ac:dyDescent="0.3">
      <c r="A706" t="s">
        <v>2156</v>
      </c>
      <c r="B706" t="s">
        <v>2215</v>
      </c>
    </row>
    <row r="707" spans="1:2" x14ac:dyDescent="0.3">
      <c r="A707" t="s">
        <v>2156</v>
      </c>
      <c r="B707" t="s">
        <v>2216</v>
      </c>
    </row>
    <row r="708" spans="1:2" x14ac:dyDescent="0.3">
      <c r="A708" t="s">
        <v>2156</v>
      </c>
      <c r="B708" t="s">
        <v>2217</v>
      </c>
    </row>
    <row r="709" spans="1:2" x14ac:dyDescent="0.3">
      <c r="A709" t="s">
        <v>2156</v>
      </c>
      <c r="B709" t="s">
        <v>2218</v>
      </c>
    </row>
    <row r="710" spans="1:2" x14ac:dyDescent="0.3">
      <c r="A710" t="s">
        <v>2156</v>
      </c>
      <c r="B710" t="s">
        <v>2219</v>
      </c>
    </row>
    <row r="711" spans="1:2" x14ac:dyDescent="0.3">
      <c r="A711" t="s">
        <v>2156</v>
      </c>
      <c r="B711" t="s">
        <v>2220</v>
      </c>
    </row>
    <row r="712" spans="1:2" x14ac:dyDescent="0.3">
      <c r="A712" t="s">
        <v>2156</v>
      </c>
      <c r="B712" t="s">
        <v>2221</v>
      </c>
    </row>
    <row r="713" spans="1:2" x14ac:dyDescent="0.3">
      <c r="A713" t="s">
        <v>2156</v>
      </c>
      <c r="B713" t="s">
        <v>2222</v>
      </c>
    </row>
    <row r="714" spans="1:2" x14ac:dyDescent="0.3">
      <c r="A714" t="s">
        <v>2156</v>
      </c>
      <c r="B714" t="s">
        <v>2223</v>
      </c>
    </row>
    <row r="715" spans="1:2" x14ac:dyDescent="0.3">
      <c r="A715" t="s">
        <v>2156</v>
      </c>
      <c r="B715" t="s">
        <v>2224</v>
      </c>
    </row>
    <row r="716" spans="1:2" x14ac:dyDescent="0.3">
      <c r="A716" t="s">
        <v>2156</v>
      </c>
      <c r="B716" t="s">
        <v>2225</v>
      </c>
    </row>
    <row r="717" spans="1:2" x14ac:dyDescent="0.3">
      <c r="A717" t="s">
        <v>2156</v>
      </c>
      <c r="B717" t="s">
        <v>2226</v>
      </c>
    </row>
    <row r="718" spans="1:2" x14ac:dyDescent="0.3">
      <c r="A718" t="s">
        <v>2156</v>
      </c>
      <c r="B718" t="s">
        <v>2227</v>
      </c>
    </row>
    <row r="719" spans="1:2" x14ac:dyDescent="0.3">
      <c r="A719" t="s">
        <v>2156</v>
      </c>
      <c r="B719" t="s">
        <v>2228</v>
      </c>
    </row>
    <row r="720" spans="1:2" x14ac:dyDescent="0.3">
      <c r="A720" t="s">
        <v>2156</v>
      </c>
      <c r="B720" t="s">
        <v>2229</v>
      </c>
    </row>
    <row r="721" spans="1:2" x14ac:dyDescent="0.3">
      <c r="A721" t="s">
        <v>2156</v>
      </c>
      <c r="B721" t="s">
        <v>2230</v>
      </c>
    </row>
    <row r="722" spans="1:2" x14ac:dyDescent="0.3">
      <c r="A722" t="s">
        <v>2156</v>
      </c>
      <c r="B722" t="s">
        <v>2231</v>
      </c>
    </row>
    <row r="723" spans="1:2" x14ac:dyDescent="0.3">
      <c r="A723" t="s">
        <v>2156</v>
      </c>
      <c r="B723" t="s">
        <v>2232</v>
      </c>
    </row>
    <row r="724" spans="1:2" x14ac:dyDescent="0.3">
      <c r="A724" t="s">
        <v>2156</v>
      </c>
      <c r="B724" t="s">
        <v>2233</v>
      </c>
    </row>
    <row r="725" spans="1:2" x14ac:dyDescent="0.3">
      <c r="A725" t="s">
        <v>2156</v>
      </c>
      <c r="B725" t="s">
        <v>2234</v>
      </c>
    </row>
    <row r="726" spans="1:2" x14ac:dyDescent="0.3">
      <c r="A726" t="s">
        <v>2156</v>
      </c>
      <c r="B726" t="s">
        <v>2235</v>
      </c>
    </row>
    <row r="727" spans="1:2" x14ac:dyDescent="0.3">
      <c r="A727" t="s">
        <v>2156</v>
      </c>
      <c r="B727" t="s">
        <v>2236</v>
      </c>
    </row>
    <row r="728" spans="1:2" x14ac:dyDescent="0.3">
      <c r="A728" t="s">
        <v>2156</v>
      </c>
      <c r="B728" t="s">
        <v>2237</v>
      </c>
    </row>
    <row r="729" spans="1:2" x14ac:dyDescent="0.3">
      <c r="A729" t="s">
        <v>2156</v>
      </c>
      <c r="B729" t="s">
        <v>2238</v>
      </c>
    </row>
    <row r="730" spans="1:2" x14ac:dyDescent="0.3">
      <c r="A730" t="s">
        <v>2156</v>
      </c>
      <c r="B730" t="s">
        <v>2239</v>
      </c>
    </row>
    <row r="731" spans="1:2" x14ac:dyDescent="0.3">
      <c r="A731" t="s">
        <v>2156</v>
      </c>
      <c r="B731" t="s">
        <v>2240</v>
      </c>
    </row>
    <row r="732" spans="1:2" x14ac:dyDescent="0.3">
      <c r="A732" t="s">
        <v>2156</v>
      </c>
      <c r="B732" t="s">
        <v>2241</v>
      </c>
    </row>
    <row r="733" spans="1:2" x14ac:dyDescent="0.3">
      <c r="A733" t="s">
        <v>2156</v>
      </c>
      <c r="B733" t="s">
        <v>2242</v>
      </c>
    </row>
    <row r="734" spans="1:2" x14ac:dyDescent="0.3">
      <c r="A734" t="s">
        <v>2156</v>
      </c>
      <c r="B734" t="s">
        <v>2243</v>
      </c>
    </row>
    <row r="735" spans="1:2" x14ac:dyDescent="0.3">
      <c r="A735" t="s">
        <v>2156</v>
      </c>
      <c r="B735" t="s">
        <v>2244</v>
      </c>
    </row>
    <row r="736" spans="1:2" x14ac:dyDescent="0.3">
      <c r="A736" t="s">
        <v>2156</v>
      </c>
      <c r="B736" t="s">
        <v>2245</v>
      </c>
    </row>
    <row r="737" spans="1:2" x14ac:dyDescent="0.3">
      <c r="A737" t="s">
        <v>2156</v>
      </c>
      <c r="B737" t="s">
        <v>2246</v>
      </c>
    </row>
    <row r="738" spans="1:2" x14ac:dyDescent="0.3">
      <c r="A738" t="s">
        <v>2156</v>
      </c>
      <c r="B738" t="s">
        <v>2247</v>
      </c>
    </row>
    <row r="739" spans="1:2" x14ac:dyDescent="0.3">
      <c r="A739" t="s">
        <v>2156</v>
      </c>
      <c r="B739" t="s">
        <v>2248</v>
      </c>
    </row>
    <row r="740" spans="1:2" x14ac:dyDescent="0.3">
      <c r="A740" t="s">
        <v>2156</v>
      </c>
      <c r="B740" t="s">
        <v>2249</v>
      </c>
    </row>
    <row r="741" spans="1:2" x14ac:dyDescent="0.3">
      <c r="A741" t="s">
        <v>2156</v>
      </c>
      <c r="B741" t="s">
        <v>2250</v>
      </c>
    </row>
    <row r="742" spans="1:2" x14ac:dyDescent="0.3">
      <c r="A742" t="s">
        <v>2156</v>
      </c>
      <c r="B742" t="s">
        <v>2251</v>
      </c>
    </row>
    <row r="743" spans="1:2" x14ac:dyDescent="0.3">
      <c r="A743" t="s">
        <v>2156</v>
      </c>
      <c r="B743" t="s">
        <v>2252</v>
      </c>
    </row>
    <row r="744" spans="1:2" x14ac:dyDescent="0.3">
      <c r="A744" t="s">
        <v>2156</v>
      </c>
      <c r="B744" t="s">
        <v>2253</v>
      </c>
    </row>
    <row r="745" spans="1:2" x14ac:dyDescent="0.3">
      <c r="A745" t="s">
        <v>2156</v>
      </c>
      <c r="B745" t="s">
        <v>2254</v>
      </c>
    </row>
    <row r="746" spans="1:2" x14ac:dyDescent="0.3">
      <c r="A746" t="s">
        <v>2156</v>
      </c>
      <c r="B746" t="s">
        <v>2255</v>
      </c>
    </row>
    <row r="747" spans="1:2" x14ac:dyDescent="0.3">
      <c r="A747" t="s">
        <v>2156</v>
      </c>
      <c r="B747" t="s">
        <v>2256</v>
      </c>
    </row>
    <row r="748" spans="1:2" x14ac:dyDescent="0.3">
      <c r="A748" t="s">
        <v>2156</v>
      </c>
      <c r="B748" t="s">
        <v>2257</v>
      </c>
    </row>
    <row r="749" spans="1:2" x14ac:dyDescent="0.3">
      <c r="A749" t="s">
        <v>2156</v>
      </c>
      <c r="B749" t="s">
        <v>2258</v>
      </c>
    </row>
    <row r="750" spans="1:2" x14ac:dyDescent="0.3">
      <c r="A750" t="s">
        <v>2156</v>
      </c>
      <c r="B750" t="s">
        <v>2259</v>
      </c>
    </row>
    <row r="751" spans="1:2" x14ac:dyDescent="0.3">
      <c r="A751" t="s">
        <v>2156</v>
      </c>
      <c r="B751" t="s">
        <v>2260</v>
      </c>
    </row>
    <row r="752" spans="1:2" x14ac:dyDescent="0.3">
      <c r="A752" t="s">
        <v>2156</v>
      </c>
      <c r="B752" t="s">
        <v>2261</v>
      </c>
    </row>
    <row r="753" spans="1:2" x14ac:dyDescent="0.3">
      <c r="A753" t="s">
        <v>2156</v>
      </c>
      <c r="B753" t="s">
        <v>2262</v>
      </c>
    </row>
    <row r="754" spans="1:2" x14ac:dyDescent="0.3">
      <c r="A754" t="s">
        <v>2156</v>
      </c>
      <c r="B754" t="s">
        <v>2263</v>
      </c>
    </row>
    <row r="755" spans="1:2" x14ac:dyDescent="0.3">
      <c r="A755" t="s">
        <v>2156</v>
      </c>
      <c r="B755" t="s">
        <v>2264</v>
      </c>
    </row>
    <row r="756" spans="1:2" x14ac:dyDescent="0.3">
      <c r="A756" t="s">
        <v>2156</v>
      </c>
      <c r="B756" t="s">
        <v>2265</v>
      </c>
    </row>
    <row r="757" spans="1:2" x14ac:dyDescent="0.3">
      <c r="A757" t="s">
        <v>2156</v>
      </c>
      <c r="B757" t="s">
        <v>2266</v>
      </c>
    </row>
    <row r="758" spans="1:2" x14ac:dyDescent="0.3">
      <c r="A758" t="s">
        <v>2156</v>
      </c>
      <c r="B758" t="s">
        <v>2267</v>
      </c>
    </row>
    <row r="759" spans="1:2" x14ac:dyDescent="0.3">
      <c r="A759" t="s">
        <v>2156</v>
      </c>
      <c r="B759" t="s">
        <v>2268</v>
      </c>
    </row>
    <row r="760" spans="1:2" x14ac:dyDescent="0.3">
      <c r="A760" t="s">
        <v>2156</v>
      </c>
      <c r="B760" t="s">
        <v>2269</v>
      </c>
    </row>
    <row r="761" spans="1:2" x14ac:dyDescent="0.3">
      <c r="A761" t="s">
        <v>2156</v>
      </c>
      <c r="B761" t="s">
        <v>2270</v>
      </c>
    </row>
    <row r="762" spans="1:2" x14ac:dyDescent="0.3">
      <c r="A762" t="s">
        <v>2156</v>
      </c>
      <c r="B762" t="s">
        <v>2271</v>
      </c>
    </row>
    <row r="763" spans="1:2" x14ac:dyDescent="0.3">
      <c r="A763" t="s">
        <v>2156</v>
      </c>
      <c r="B763" t="s">
        <v>2272</v>
      </c>
    </row>
    <row r="764" spans="1:2" x14ac:dyDescent="0.3">
      <c r="A764" t="s">
        <v>2156</v>
      </c>
      <c r="B764" t="s">
        <v>2273</v>
      </c>
    </row>
    <row r="765" spans="1:2" x14ac:dyDescent="0.3">
      <c r="A765" t="s">
        <v>2156</v>
      </c>
      <c r="B765" t="s">
        <v>2274</v>
      </c>
    </row>
    <row r="766" spans="1:2" x14ac:dyDescent="0.3">
      <c r="A766" t="s">
        <v>2156</v>
      </c>
      <c r="B766" t="s">
        <v>2275</v>
      </c>
    </row>
    <row r="767" spans="1:2" x14ac:dyDescent="0.3">
      <c r="A767" t="s">
        <v>2156</v>
      </c>
      <c r="B767" t="s">
        <v>2276</v>
      </c>
    </row>
    <row r="768" spans="1:2" x14ac:dyDescent="0.3">
      <c r="A768" t="s">
        <v>2156</v>
      </c>
      <c r="B768" t="s">
        <v>2277</v>
      </c>
    </row>
    <row r="769" spans="1:2" x14ac:dyDescent="0.3">
      <c r="A769" t="s">
        <v>2156</v>
      </c>
      <c r="B769" t="s">
        <v>2278</v>
      </c>
    </row>
    <row r="770" spans="1:2" x14ac:dyDescent="0.3">
      <c r="A770" t="s">
        <v>2156</v>
      </c>
      <c r="B770" t="s">
        <v>2279</v>
      </c>
    </row>
    <row r="771" spans="1:2" x14ac:dyDescent="0.3">
      <c r="A771" t="s">
        <v>2156</v>
      </c>
      <c r="B771" t="s">
        <v>2280</v>
      </c>
    </row>
    <row r="772" spans="1:2" x14ac:dyDescent="0.3">
      <c r="A772" t="s">
        <v>2156</v>
      </c>
      <c r="B772" t="s">
        <v>2281</v>
      </c>
    </row>
    <row r="773" spans="1:2" x14ac:dyDescent="0.3">
      <c r="A773" t="s">
        <v>2156</v>
      </c>
      <c r="B773" t="s">
        <v>2282</v>
      </c>
    </row>
    <row r="774" spans="1:2" x14ac:dyDescent="0.3">
      <c r="A774" t="s">
        <v>2156</v>
      </c>
      <c r="B774" t="s">
        <v>1709</v>
      </c>
    </row>
    <row r="775" spans="1:2" x14ac:dyDescent="0.3">
      <c r="A775" t="s">
        <v>2156</v>
      </c>
      <c r="B775" t="s">
        <v>2283</v>
      </c>
    </row>
    <row r="776" spans="1:2" x14ac:dyDescent="0.3">
      <c r="A776" t="s">
        <v>2156</v>
      </c>
      <c r="B776" t="s">
        <v>2284</v>
      </c>
    </row>
    <row r="777" spans="1:2" x14ac:dyDescent="0.3">
      <c r="A777" t="s">
        <v>2156</v>
      </c>
      <c r="B777" t="s">
        <v>2285</v>
      </c>
    </row>
    <row r="778" spans="1:2" x14ac:dyDescent="0.3">
      <c r="A778" t="s">
        <v>2156</v>
      </c>
      <c r="B778" t="s">
        <v>2286</v>
      </c>
    </row>
    <row r="779" spans="1:2" x14ac:dyDescent="0.3">
      <c r="A779" t="s">
        <v>2156</v>
      </c>
      <c r="B779" t="s">
        <v>1714</v>
      </c>
    </row>
    <row r="780" spans="1:2" x14ac:dyDescent="0.3">
      <c r="A780" t="s">
        <v>2156</v>
      </c>
      <c r="B780" t="s">
        <v>2287</v>
      </c>
    </row>
    <row r="781" spans="1:2" x14ac:dyDescent="0.3">
      <c r="A781" t="s">
        <v>2156</v>
      </c>
      <c r="B781" t="s">
        <v>2288</v>
      </c>
    </row>
    <row r="782" spans="1:2" x14ac:dyDescent="0.3">
      <c r="A782" t="s">
        <v>2156</v>
      </c>
      <c r="B782" t="s">
        <v>2289</v>
      </c>
    </row>
    <row r="783" spans="1:2" x14ac:dyDescent="0.3">
      <c r="A783" t="s">
        <v>2156</v>
      </c>
      <c r="B783" t="s">
        <v>2290</v>
      </c>
    </row>
    <row r="784" spans="1:2" x14ac:dyDescent="0.3">
      <c r="A784" t="s">
        <v>2156</v>
      </c>
      <c r="B784" t="s">
        <v>2291</v>
      </c>
    </row>
    <row r="785" spans="1:2" x14ac:dyDescent="0.3">
      <c r="A785" t="s">
        <v>2156</v>
      </c>
      <c r="B785" t="s">
        <v>2292</v>
      </c>
    </row>
    <row r="786" spans="1:2" x14ac:dyDescent="0.3">
      <c r="A786" t="s">
        <v>2156</v>
      </c>
      <c r="B786" t="s">
        <v>2293</v>
      </c>
    </row>
    <row r="787" spans="1:2" x14ac:dyDescent="0.3">
      <c r="A787" t="s">
        <v>2156</v>
      </c>
      <c r="B787" t="s">
        <v>2294</v>
      </c>
    </row>
    <row r="788" spans="1:2" x14ac:dyDescent="0.3">
      <c r="A788" t="s">
        <v>2156</v>
      </c>
      <c r="B788" t="s">
        <v>2295</v>
      </c>
    </row>
    <row r="789" spans="1:2" x14ac:dyDescent="0.3">
      <c r="A789" t="s">
        <v>2156</v>
      </c>
      <c r="B789" t="s">
        <v>2296</v>
      </c>
    </row>
    <row r="790" spans="1:2" x14ac:dyDescent="0.3">
      <c r="A790" t="s">
        <v>2156</v>
      </c>
      <c r="B790" t="s">
        <v>2297</v>
      </c>
    </row>
    <row r="791" spans="1:2" x14ac:dyDescent="0.3">
      <c r="A791" t="s">
        <v>2156</v>
      </c>
      <c r="B791" t="s">
        <v>2298</v>
      </c>
    </row>
    <row r="792" spans="1:2" x14ac:dyDescent="0.3">
      <c r="A792" t="s">
        <v>2156</v>
      </c>
      <c r="B792" t="s">
        <v>2299</v>
      </c>
    </row>
    <row r="793" spans="1:2" x14ac:dyDescent="0.3">
      <c r="A793" t="s">
        <v>2156</v>
      </c>
      <c r="B793" t="s">
        <v>2300</v>
      </c>
    </row>
    <row r="794" spans="1:2" x14ac:dyDescent="0.3">
      <c r="A794" t="s">
        <v>2156</v>
      </c>
      <c r="B794" t="s">
        <v>2301</v>
      </c>
    </row>
    <row r="795" spans="1:2" x14ac:dyDescent="0.3">
      <c r="A795" t="s">
        <v>2156</v>
      </c>
      <c r="B795" t="s">
        <v>2302</v>
      </c>
    </row>
    <row r="796" spans="1:2" x14ac:dyDescent="0.3">
      <c r="A796" t="s">
        <v>2156</v>
      </c>
      <c r="B796" t="s">
        <v>2303</v>
      </c>
    </row>
    <row r="797" spans="1:2" x14ac:dyDescent="0.3">
      <c r="A797" t="s">
        <v>2156</v>
      </c>
      <c r="B797" t="s">
        <v>2304</v>
      </c>
    </row>
    <row r="798" spans="1:2" x14ac:dyDescent="0.3">
      <c r="A798" t="s">
        <v>2156</v>
      </c>
      <c r="B798" t="s">
        <v>2305</v>
      </c>
    </row>
    <row r="799" spans="1:2" x14ac:dyDescent="0.3">
      <c r="A799" t="s">
        <v>2156</v>
      </c>
      <c r="B799" t="s">
        <v>2306</v>
      </c>
    </row>
    <row r="800" spans="1:2" x14ac:dyDescent="0.3">
      <c r="A800" t="s">
        <v>2156</v>
      </c>
      <c r="B800" t="s">
        <v>2307</v>
      </c>
    </row>
    <row r="801" spans="1:2" x14ac:dyDescent="0.3">
      <c r="A801" t="s">
        <v>2156</v>
      </c>
      <c r="B801" t="s">
        <v>2308</v>
      </c>
    </row>
    <row r="802" spans="1:2" x14ac:dyDescent="0.3">
      <c r="A802" t="s">
        <v>2156</v>
      </c>
      <c r="B802" t="s">
        <v>2309</v>
      </c>
    </row>
    <row r="803" spans="1:2" x14ac:dyDescent="0.3">
      <c r="A803" t="s">
        <v>2156</v>
      </c>
      <c r="B803" t="s">
        <v>2310</v>
      </c>
    </row>
    <row r="804" spans="1:2" x14ac:dyDescent="0.3">
      <c r="A804" t="s">
        <v>2156</v>
      </c>
      <c r="B804" t="s">
        <v>2311</v>
      </c>
    </row>
    <row r="805" spans="1:2" x14ac:dyDescent="0.3">
      <c r="A805" t="s">
        <v>2156</v>
      </c>
      <c r="B805" t="s">
        <v>2312</v>
      </c>
    </row>
    <row r="806" spans="1:2" x14ac:dyDescent="0.3">
      <c r="A806" t="s">
        <v>2156</v>
      </c>
      <c r="B806" t="s">
        <v>2313</v>
      </c>
    </row>
    <row r="807" spans="1:2" x14ac:dyDescent="0.3">
      <c r="A807" t="s">
        <v>2156</v>
      </c>
      <c r="B807" t="s">
        <v>2314</v>
      </c>
    </row>
    <row r="808" spans="1:2" x14ac:dyDescent="0.3">
      <c r="A808" t="s">
        <v>2156</v>
      </c>
      <c r="B808" t="s">
        <v>2315</v>
      </c>
    </row>
    <row r="809" spans="1:2" x14ac:dyDescent="0.3">
      <c r="A809" t="s">
        <v>2156</v>
      </c>
      <c r="B809" t="s">
        <v>2316</v>
      </c>
    </row>
    <row r="810" spans="1:2" x14ac:dyDescent="0.3">
      <c r="A810" t="s">
        <v>2156</v>
      </c>
      <c r="B810" t="s">
        <v>2317</v>
      </c>
    </row>
    <row r="811" spans="1:2" x14ac:dyDescent="0.3">
      <c r="A811" t="s">
        <v>2156</v>
      </c>
      <c r="B811" t="s">
        <v>2318</v>
      </c>
    </row>
    <row r="812" spans="1:2" x14ac:dyDescent="0.3">
      <c r="A812" t="s">
        <v>2156</v>
      </c>
      <c r="B812" t="s">
        <v>2319</v>
      </c>
    </row>
    <row r="813" spans="1:2" x14ac:dyDescent="0.3">
      <c r="A813" t="s">
        <v>2156</v>
      </c>
      <c r="B813" t="s">
        <v>2320</v>
      </c>
    </row>
    <row r="814" spans="1:2" x14ac:dyDescent="0.3">
      <c r="A814" t="s">
        <v>2156</v>
      </c>
      <c r="B814" t="s">
        <v>2321</v>
      </c>
    </row>
    <row r="815" spans="1:2" x14ac:dyDescent="0.3">
      <c r="A815" t="s">
        <v>2156</v>
      </c>
      <c r="B815" t="s">
        <v>2322</v>
      </c>
    </row>
    <row r="816" spans="1:2" x14ac:dyDescent="0.3">
      <c r="A816" t="s">
        <v>2156</v>
      </c>
      <c r="B816" t="s">
        <v>2323</v>
      </c>
    </row>
    <row r="817" spans="1:2" x14ac:dyDescent="0.3">
      <c r="A817" t="s">
        <v>2156</v>
      </c>
      <c r="B817" t="s">
        <v>2324</v>
      </c>
    </row>
    <row r="818" spans="1:2" x14ac:dyDescent="0.3">
      <c r="A818" t="s">
        <v>2156</v>
      </c>
      <c r="B818" t="s">
        <v>2325</v>
      </c>
    </row>
    <row r="819" spans="1:2" x14ac:dyDescent="0.3">
      <c r="A819" t="s">
        <v>2156</v>
      </c>
      <c r="B819" t="s">
        <v>2326</v>
      </c>
    </row>
    <row r="820" spans="1:2" x14ac:dyDescent="0.3">
      <c r="A820" t="s">
        <v>2156</v>
      </c>
      <c r="B820" t="s">
        <v>2327</v>
      </c>
    </row>
    <row r="821" spans="1:2" x14ac:dyDescent="0.3">
      <c r="A821" t="s">
        <v>2156</v>
      </c>
      <c r="B821" t="s">
        <v>2328</v>
      </c>
    </row>
    <row r="822" spans="1:2" x14ac:dyDescent="0.3">
      <c r="A822" t="s">
        <v>2156</v>
      </c>
      <c r="B822" t="s">
        <v>2329</v>
      </c>
    </row>
    <row r="823" spans="1:2" x14ac:dyDescent="0.3">
      <c r="A823" t="s">
        <v>2156</v>
      </c>
      <c r="B823" t="s">
        <v>2330</v>
      </c>
    </row>
    <row r="824" spans="1:2" x14ac:dyDescent="0.3">
      <c r="A824" t="s">
        <v>2156</v>
      </c>
      <c r="B824" t="s">
        <v>2331</v>
      </c>
    </row>
    <row r="825" spans="1:2" x14ac:dyDescent="0.3">
      <c r="A825" t="s">
        <v>2156</v>
      </c>
      <c r="B825" t="s">
        <v>2332</v>
      </c>
    </row>
    <row r="826" spans="1:2" x14ac:dyDescent="0.3">
      <c r="A826" t="s">
        <v>2156</v>
      </c>
      <c r="B826" t="s">
        <v>2333</v>
      </c>
    </row>
    <row r="827" spans="1:2" x14ac:dyDescent="0.3">
      <c r="A827" t="s">
        <v>2156</v>
      </c>
      <c r="B827" t="s">
        <v>2334</v>
      </c>
    </row>
    <row r="828" spans="1:2" x14ac:dyDescent="0.3">
      <c r="A828" t="s">
        <v>2156</v>
      </c>
      <c r="B828" t="s">
        <v>2335</v>
      </c>
    </row>
    <row r="829" spans="1:2" x14ac:dyDescent="0.3">
      <c r="A829" t="s">
        <v>2156</v>
      </c>
      <c r="B829" t="s">
        <v>2336</v>
      </c>
    </row>
    <row r="830" spans="1:2" x14ac:dyDescent="0.3">
      <c r="A830" t="s">
        <v>2156</v>
      </c>
      <c r="B830" t="s">
        <v>2337</v>
      </c>
    </row>
    <row r="831" spans="1:2" x14ac:dyDescent="0.3">
      <c r="A831" t="s">
        <v>2156</v>
      </c>
      <c r="B831" t="s">
        <v>2338</v>
      </c>
    </row>
    <row r="832" spans="1:2" x14ac:dyDescent="0.3">
      <c r="A832" t="s">
        <v>2156</v>
      </c>
      <c r="B832" t="s">
        <v>2339</v>
      </c>
    </row>
    <row r="833" spans="1:2" x14ac:dyDescent="0.3">
      <c r="A833" t="s">
        <v>2156</v>
      </c>
      <c r="B833" t="s">
        <v>2340</v>
      </c>
    </row>
    <row r="834" spans="1:2" x14ac:dyDescent="0.3">
      <c r="A834" t="s">
        <v>2156</v>
      </c>
      <c r="B834" t="s">
        <v>2341</v>
      </c>
    </row>
    <row r="835" spans="1:2" x14ac:dyDescent="0.3">
      <c r="A835" t="s">
        <v>2156</v>
      </c>
      <c r="B835" t="s">
        <v>2342</v>
      </c>
    </row>
    <row r="836" spans="1:2" x14ac:dyDescent="0.3">
      <c r="A836" t="s">
        <v>2156</v>
      </c>
      <c r="B836" t="s">
        <v>2343</v>
      </c>
    </row>
    <row r="837" spans="1:2" x14ac:dyDescent="0.3">
      <c r="A837" t="s">
        <v>2156</v>
      </c>
      <c r="B837" t="s">
        <v>2344</v>
      </c>
    </row>
    <row r="838" spans="1:2" x14ac:dyDescent="0.3">
      <c r="A838" t="s">
        <v>2156</v>
      </c>
      <c r="B838" t="s">
        <v>2345</v>
      </c>
    </row>
    <row r="839" spans="1:2" x14ac:dyDescent="0.3">
      <c r="A839" t="s">
        <v>2156</v>
      </c>
      <c r="B839" t="s">
        <v>2346</v>
      </c>
    </row>
    <row r="840" spans="1:2" x14ac:dyDescent="0.3">
      <c r="A840" t="s">
        <v>2156</v>
      </c>
      <c r="B840" t="s">
        <v>2347</v>
      </c>
    </row>
    <row r="841" spans="1:2" x14ac:dyDescent="0.3">
      <c r="A841" t="s">
        <v>2156</v>
      </c>
      <c r="B841" t="s">
        <v>2348</v>
      </c>
    </row>
    <row r="842" spans="1:2" x14ac:dyDescent="0.3">
      <c r="A842" t="s">
        <v>2156</v>
      </c>
      <c r="B842" t="s">
        <v>2349</v>
      </c>
    </row>
    <row r="843" spans="1:2" x14ac:dyDescent="0.3">
      <c r="A843" t="s">
        <v>2156</v>
      </c>
      <c r="B843" t="s">
        <v>2350</v>
      </c>
    </row>
    <row r="844" spans="1:2" x14ac:dyDescent="0.3">
      <c r="A844" t="s">
        <v>2156</v>
      </c>
      <c r="B844" t="s">
        <v>2351</v>
      </c>
    </row>
    <row r="845" spans="1:2" x14ac:dyDescent="0.3">
      <c r="A845" t="s">
        <v>2156</v>
      </c>
      <c r="B845" t="s">
        <v>2352</v>
      </c>
    </row>
    <row r="846" spans="1:2" x14ac:dyDescent="0.3">
      <c r="A846" t="s">
        <v>2156</v>
      </c>
      <c r="B846" t="s">
        <v>2353</v>
      </c>
    </row>
    <row r="847" spans="1:2" x14ac:dyDescent="0.3">
      <c r="A847" t="s">
        <v>2156</v>
      </c>
      <c r="B847" t="s">
        <v>2354</v>
      </c>
    </row>
    <row r="848" spans="1:2" x14ac:dyDescent="0.3">
      <c r="A848" t="s">
        <v>2156</v>
      </c>
      <c r="B848" t="s">
        <v>2355</v>
      </c>
    </row>
    <row r="849" spans="1:2" x14ac:dyDescent="0.3">
      <c r="A849" t="s">
        <v>2156</v>
      </c>
      <c r="B849" t="s">
        <v>2356</v>
      </c>
    </row>
    <row r="850" spans="1:2" x14ac:dyDescent="0.3">
      <c r="A850" t="s">
        <v>2156</v>
      </c>
      <c r="B850" t="s">
        <v>2357</v>
      </c>
    </row>
    <row r="851" spans="1:2" x14ac:dyDescent="0.3">
      <c r="A851" t="s">
        <v>2156</v>
      </c>
      <c r="B851" t="s">
        <v>2358</v>
      </c>
    </row>
    <row r="852" spans="1:2" x14ac:dyDescent="0.3">
      <c r="A852" t="s">
        <v>2156</v>
      </c>
      <c r="B852" t="s">
        <v>2359</v>
      </c>
    </row>
    <row r="853" spans="1:2" x14ac:dyDescent="0.3">
      <c r="A853" t="s">
        <v>2156</v>
      </c>
      <c r="B853" t="s">
        <v>2360</v>
      </c>
    </row>
    <row r="854" spans="1:2" x14ac:dyDescent="0.3">
      <c r="A854" t="s">
        <v>2156</v>
      </c>
      <c r="B854" t="s">
        <v>2361</v>
      </c>
    </row>
    <row r="855" spans="1:2" x14ac:dyDescent="0.3">
      <c r="A855" t="s">
        <v>2156</v>
      </c>
      <c r="B855" t="s">
        <v>2362</v>
      </c>
    </row>
    <row r="856" spans="1:2" x14ac:dyDescent="0.3">
      <c r="A856" t="s">
        <v>2156</v>
      </c>
      <c r="B856" t="s">
        <v>2363</v>
      </c>
    </row>
    <row r="857" spans="1:2" x14ac:dyDescent="0.3">
      <c r="A857" t="s">
        <v>2156</v>
      </c>
      <c r="B857" t="s">
        <v>2364</v>
      </c>
    </row>
    <row r="858" spans="1:2" x14ac:dyDescent="0.3">
      <c r="A858" t="s">
        <v>2156</v>
      </c>
      <c r="B858" t="s">
        <v>2365</v>
      </c>
    </row>
    <row r="859" spans="1:2" x14ac:dyDescent="0.3">
      <c r="A859" t="s">
        <v>2156</v>
      </c>
      <c r="B859" t="s">
        <v>2366</v>
      </c>
    </row>
    <row r="860" spans="1:2" x14ac:dyDescent="0.3">
      <c r="A860" t="s">
        <v>2156</v>
      </c>
      <c r="B860" t="s">
        <v>2367</v>
      </c>
    </row>
    <row r="861" spans="1:2" x14ac:dyDescent="0.3">
      <c r="A861" t="s">
        <v>2156</v>
      </c>
      <c r="B861" t="s">
        <v>2368</v>
      </c>
    </row>
    <row r="862" spans="1:2" x14ac:dyDescent="0.3">
      <c r="A862" t="s">
        <v>2156</v>
      </c>
      <c r="B862" t="s">
        <v>2369</v>
      </c>
    </row>
    <row r="863" spans="1:2" x14ac:dyDescent="0.3">
      <c r="A863" t="s">
        <v>2156</v>
      </c>
      <c r="B863" t="s">
        <v>2370</v>
      </c>
    </row>
    <row r="864" spans="1:2" x14ac:dyDescent="0.3">
      <c r="A864" t="s">
        <v>2156</v>
      </c>
      <c r="B864" t="s">
        <v>2371</v>
      </c>
    </row>
    <row r="865" spans="1:2" x14ac:dyDescent="0.3">
      <c r="A865" t="s">
        <v>2156</v>
      </c>
      <c r="B865" t="s">
        <v>2372</v>
      </c>
    </row>
    <row r="866" spans="1:2" x14ac:dyDescent="0.3">
      <c r="A866" t="s">
        <v>2156</v>
      </c>
      <c r="B866" t="s">
        <v>2373</v>
      </c>
    </row>
    <row r="867" spans="1:2" x14ac:dyDescent="0.3">
      <c r="A867" t="s">
        <v>2156</v>
      </c>
      <c r="B867" t="s">
        <v>2374</v>
      </c>
    </row>
    <row r="868" spans="1:2" x14ac:dyDescent="0.3">
      <c r="A868" t="s">
        <v>2156</v>
      </c>
      <c r="B868" t="s">
        <v>2375</v>
      </c>
    </row>
    <row r="869" spans="1:2" x14ac:dyDescent="0.3">
      <c r="A869" t="s">
        <v>2156</v>
      </c>
      <c r="B869" t="s">
        <v>2376</v>
      </c>
    </row>
    <row r="870" spans="1:2" x14ac:dyDescent="0.3">
      <c r="A870" t="s">
        <v>2156</v>
      </c>
      <c r="B870" t="s">
        <v>2377</v>
      </c>
    </row>
    <row r="871" spans="1:2" x14ac:dyDescent="0.3">
      <c r="A871" t="s">
        <v>2156</v>
      </c>
      <c r="B871" t="s">
        <v>2378</v>
      </c>
    </row>
    <row r="872" spans="1:2" x14ac:dyDescent="0.3">
      <c r="A872" t="s">
        <v>2156</v>
      </c>
      <c r="B872" t="s">
        <v>2379</v>
      </c>
    </row>
    <row r="873" spans="1:2" x14ac:dyDescent="0.3">
      <c r="A873" t="s">
        <v>2156</v>
      </c>
      <c r="B873" t="s">
        <v>2380</v>
      </c>
    </row>
    <row r="874" spans="1:2" x14ac:dyDescent="0.3">
      <c r="A874" t="s">
        <v>2156</v>
      </c>
      <c r="B874" t="s">
        <v>2381</v>
      </c>
    </row>
    <row r="875" spans="1:2" x14ac:dyDescent="0.3">
      <c r="A875" t="s">
        <v>2156</v>
      </c>
      <c r="B875" t="s">
        <v>2382</v>
      </c>
    </row>
    <row r="876" spans="1:2" x14ac:dyDescent="0.3">
      <c r="A876" t="s">
        <v>2156</v>
      </c>
      <c r="B876" t="s">
        <v>2383</v>
      </c>
    </row>
    <row r="877" spans="1:2" x14ac:dyDescent="0.3">
      <c r="A877" t="s">
        <v>2156</v>
      </c>
      <c r="B877" t="s">
        <v>2384</v>
      </c>
    </row>
    <row r="878" spans="1:2" x14ac:dyDescent="0.3">
      <c r="A878" t="s">
        <v>2156</v>
      </c>
      <c r="B878" t="s">
        <v>2385</v>
      </c>
    </row>
    <row r="879" spans="1:2" x14ac:dyDescent="0.3">
      <c r="A879" t="s">
        <v>2156</v>
      </c>
      <c r="B879" t="s">
        <v>2386</v>
      </c>
    </row>
    <row r="880" spans="1:2" x14ac:dyDescent="0.3">
      <c r="A880" t="s">
        <v>2156</v>
      </c>
      <c r="B880" t="s">
        <v>2387</v>
      </c>
    </row>
    <row r="881" spans="1:2" x14ac:dyDescent="0.3">
      <c r="A881" t="s">
        <v>2156</v>
      </c>
      <c r="B881" t="s">
        <v>2388</v>
      </c>
    </row>
    <row r="882" spans="1:2" x14ac:dyDescent="0.3">
      <c r="A882" t="s">
        <v>2156</v>
      </c>
      <c r="B882" t="s">
        <v>2389</v>
      </c>
    </row>
    <row r="883" spans="1:2" x14ac:dyDescent="0.3">
      <c r="A883" t="s">
        <v>2156</v>
      </c>
      <c r="B883" t="s">
        <v>2390</v>
      </c>
    </row>
    <row r="884" spans="1:2" x14ac:dyDescent="0.3">
      <c r="A884" t="s">
        <v>2156</v>
      </c>
      <c r="B884" t="s">
        <v>2391</v>
      </c>
    </row>
    <row r="885" spans="1:2" x14ac:dyDescent="0.3">
      <c r="A885" t="s">
        <v>2156</v>
      </c>
      <c r="B885" t="s">
        <v>2392</v>
      </c>
    </row>
    <row r="886" spans="1:2" x14ac:dyDescent="0.3">
      <c r="A886" t="s">
        <v>2156</v>
      </c>
      <c r="B886" t="s">
        <v>2393</v>
      </c>
    </row>
    <row r="887" spans="1:2" x14ac:dyDescent="0.3">
      <c r="A887" t="s">
        <v>2156</v>
      </c>
      <c r="B887" t="s">
        <v>2394</v>
      </c>
    </row>
    <row r="888" spans="1:2" x14ac:dyDescent="0.3">
      <c r="A888" t="s">
        <v>2156</v>
      </c>
      <c r="B888" t="s">
        <v>2395</v>
      </c>
    </row>
    <row r="889" spans="1:2" x14ac:dyDescent="0.3">
      <c r="A889" t="s">
        <v>2156</v>
      </c>
      <c r="B889" t="s">
        <v>2396</v>
      </c>
    </row>
    <row r="890" spans="1:2" x14ac:dyDescent="0.3">
      <c r="A890" t="s">
        <v>2156</v>
      </c>
      <c r="B890" t="s">
        <v>2397</v>
      </c>
    </row>
    <row r="891" spans="1:2" x14ac:dyDescent="0.3">
      <c r="A891" t="s">
        <v>2156</v>
      </c>
      <c r="B891" t="s">
        <v>2398</v>
      </c>
    </row>
    <row r="892" spans="1:2" x14ac:dyDescent="0.3">
      <c r="A892" t="s">
        <v>2156</v>
      </c>
      <c r="B892" t="s">
        <v>2399</v>
      </c>
    </row>
    <row r="893" spans="1:2" x14ac:dyDescent="0.3">
      <c r="A893" t="s">
        <v>2156</v>
      </c>
      <c r="B893" t="s">
        <v>2400</v>
      </c>
    </row>
    <row r="894" spans="1:2" x14ac:dyDescent="0.3">
      <c r="A894" t="s">
        <v>2156</v>
      </c>
      <c r="B894" t="s">
        <v>2401</v>
      </c>
    </row>
    <row r="895" spans="1:2" x14ac:dyDescent="0.3">
      <c r="A895" t="s">
        <v>2156</v>
      </c>
      <c r="B895" t="s">
        <v>1908</v>
      </c>
    </row>
    <row r="896" spans="1:2" x14ac:dyDescent="0.3">
      <c r="A896" t="s">
        <v>2156</v>
      </c>
      <c r="B896" t="s">
        <v>2402</v>
      </c>
    </row>
    <row r="897" spans="1:2" x14ac:dyDescent="0.3">
      <c r="A897" t="s">
        <v>2156</v>
      </c>
      <c r="B897" t="s">
        <v>2403</v>
      </c>
    </row>
    <row r="898" spans="1:2" x14ac:dyDescent="0.3">
      <c r="A898" t="s">
        <v>2156</v>
      </c>
      <c r="B898" t="s">
        <v>2404</v>
      </c>
    </row>
    <row r="899" spans="1:2" x14ac:dyDescent="0.3">
      <c r="A899" t="s">
        <v>2156</v>
      </c>
      <c r="B899" t="s">
        <v>2405</v>
      </c>
    </row>
    <row r="900" spans="1:2" x14ac:dyDescent="0.3">
      <c r="A900" t="s">
        <v>2156</v>
      </c>
      <c r="B900" t="s">
        <v>2406</v>
      </c>
    </row>
    <row r="901" spans="1:2" x14ac:dyDescent="0.3">
      <c r="A901" t="s">
        <v>2156</v>
      </c>
      <c r="B901" t="s">
        <v>2407</v>
      </c>
    </row>
    <row r="902" spans="1:2" x14ac:dyDescent="0.3">
      <c r="A902" t="s">
        <v>2156</v>
      </c>
      <c r="B902" t="s">
        <v>2408</v>
      </c>
    </row>
    <row r="903" spans="1:2" x14ac:dyDescent="0.3">
      <c r="A903" t="s">
        <v>2156</v>
      </c>
      <c r="B903" t="s">
        <v>2409</v>
      </c>
    </row>
    <row r="904" spans="1:2" x14ac:dyDescent="0.3">
      <c r="A904" t="s">
        <v>2156</v>
      </c>
      <c r="B904" t="s">
        <v>2410</v>
      </c>
    </row>
    <row r="905" spans="1:2" x14ac:dyDescent="0.3">
      <c r="A905" t="s">
        <v>2156</v>
      </c>
      <c r="B905" t="s">
        <v>2411</v>
      </c>
    </row>
    <row r="906" spans="1:2" x14ac:dyDescent="0.3">
      <c r="A906" t="s">
        <v>2156</v>
      </c>
      <c r="B906" t="s">
        <v>2412</v>
      </c>
    </row>
    <row r="907" spans="1:2" x14ac:dyDescent="0.3">
      <c r="A907" t="s">
        <v>2156</v>
      </c>
      <c r="B907" t="s">
        <v>2413</v>
      </c>
    </row>
    <row r="908" spans="1:2" x14ac:dyDescent="0.3">
      <c r="A908" t="s">
        <v>2156</v>
      </c>
      <c r="B908" t="s">
        <v>2414</v>
      </c>
    </row>
    <row r="909" spans="1:2" x14ac:dyDescent="0.3">
      <c r="A909" t="s">
        <v>2156</v>
      </c>
      <c r="B909" t="s">
        <v>2415</v>
      </c>
    </row>
    <row r="910" spans="1:2" x14ac:dyDescent="0.3">
      <c r="A910" t="s">
        <v>2156</v>
      </c>
      <c r="B910" t="s">
        <v>2416</v>
      </c>
    </row>
    <row r="911" spans="1:2" x14ac:dyDescent="0.3">
      <c r="A911" t="s">
        <v>2156</v>
      </c>
      <c r="B911" t="s">
        <v>2417</v>
      </c>
    </row>
    <row r="912" spans="1:2" x14ac:dyDescent="0.3">
      <c r="A912" t="s">
        <v>2156</v>
      </c>
      <c r="B912" t="s">
        <v>2418</v>
      </c>
    </row>
    <row r="913" spans="1:2" x14ac:dyDescent="0.3">
      <c r="A913" t="s">
        <v>2156</v>
      </c>
      <c r="B913" t="s">
        <v>2419</v>
      </c>
    </row>
    <row r="914" spans="1:2" x14ac:dyDescent="0.3">
      <c r="A914" t="s">
        <v>2156</v>
      </c>
      <c r="B914" t="s">
        <v>2420</v>
      </c>
    </row>
    <row r="915" spans="1:2" x14ac:dyDescent="0.3">
      <c r="A915" t="s">
        <v>2156</v>
      </c>
      <c r="B915" t="s">
        <v>2421</v>
      </c>
    </row>
    <row r="916" spans="1:2" x14ac:dyDescent="0.3">
      <c r="A916" t="s">
        <v>2156</v>
      </c>
      <c r="B916" t="s">
        <v>2422</v>
      </c>
    </row>
    <row r="917" spans="1:2" x14ac:dyDescent="0.3">
      <c r="A917" t="s">
        <v>2156</v>
      </c>
      <c r="B917" t="s">
        <v>2423</v>
      </c>
    </row>
    <row r="918" spans="1:2" x14ac:dyDescent="0.3">
      <c r="A918" t="s">
        <v>2156</v>
      </c>
      <c r="B918" t="s">
        <v>1952</v>
      </c>
    </row>
    <row r="919" spans="1:2" x14ac:dyDescent="0.3">
      <c r="A919" t="s">
        <v>2156</v>
      </c>
      <c r="B919" t="s">
        <v>2424</v>
      </c>
    </row>
    <row r="920" spans="1:2" x14ac:dyDescent="0.3">
      <c r="A920" t="s">
        <v>2156</v>
      </c>
      <c r="B920" t="s">
        <v>1953</v>
      </c>
    </row>
    <row r="921" spans="1:2" x14ac:dyDescent="0.3">
      <c r="A921" t="s">
        <v>2156</v>
      </c>
      <c r="B921" t="s">
        <v>2425</v>
      </c>
    </row>
    <row r="922" spans="1:2" x14ac:dyDescent="0.3">
      <c r="A922" t="s">
        <v>2156</v>
      </c>
      <c r="B922" t="s">
        <v>2426</v>
      </c>
    </row>
    <row r="923" spans="1:2" x14ac:dyDescent="0.3">
      <c r="A923" t="s">
        <v>2156</v>
      </c>
      <c r="B923" t="s">
        <v>2427</v>
      </c>
    </row>
    <row r="924" spans="1:2" x14ac:dyDescent="0.3">
      <c r="A924" t="s">
        <v>2156</v>
      </c>
      <c r="B924" t="s">
        <v>2428</v>
      </c>
    </row>
    <row r="925" spans="1:2" x14ac:dyDescent="0.3">
      <c r="A925" t="s">
        <v>2156</v>
      </c>
      <c r="B925" t="s">
        <v>2429</v>
      </c>
    </row>
    <row r="926" spans="1:2" x14ac:dyDescent="0.3">
      <c r="A926" t="s">
        <v>2156</v>
      </c>
      <c r="B926" t="s">
        <v>2430</v>
      </c>
    </row>
    <row r="927" spans="1:2" x14ac:dyDescent="0.3">
      <c r="A927" t="s">
        <v>2156</v>
      </c>
      <c r="B927" t="s">
        <v>2431</v>
      </c>
    </row>
    <row r="928" spans="1:2" x14ac:dyDescent="0.3">
      <c r="A928" t="s">
        <v>2156</v>
      </c>
      <c r="B928" t="s">
        <v>2432</v>
      </c>
    </row>
    <row r="929" spans="1:2" x14ac:dyDescent="0.3">
      <c r="A929" t="s">
        <v>2156</v>
      </c>
      <c r="B929" t="s">
        <v>2433</v>
      </c>
    </row>
    <row r="930" spans="1:2" x14ac:dyDescent="0.3">
      <c r="A930" t="s">
        <v>2156</v>
      </c>
      <c r="B930" t="s">
        <v>2434</v>
      </c>
    </row>
    <row r="931" spans="1:2" x14ac:dyDescent="0.3">
      <c r="A931" t="s">
        <v>2156</v>
      </c>
      <c r="B931" t="s">
        <v>2435</v>
      </c>
    </row>
    <row r="932" spans="1:2" x14ac:dyDescent="0.3">
      <c r="A932" t="s">
        <v>2156</v>
      </c>
      <c r="B932" t="s">
        <v>2436</v>
      </c>
    </row>
    <row r="933" spans="1:2" x14ac:dyDescent="0.3">
      <c r="A933" t="s">
        <v>2156</v>
      </c>
      <c r="B933" t="s">
        <v>2437</v>
      </c>
    </row>
    <row r="934" spans="1:2" x14ac:dyDescent="0.3">
      <c r="A934" t="s">
        <v>2156</v>
      </c>
      <c r="B934" t="s">
        <v>2438</v>
      </c>
    </row>
    <row r="935" spans="1:2" x14ac:dyDescent="0.3">
      <c r="A935" t="s">
        <v>2156</v>
      </c>
      <c r="B935" t="s">
        <v>2439</v>
      </c>
    </row>
    <row r="936" spans="1:2" x14ac:dyDescent="0.3">
      <c r="A936" t="s">
        <v>2156</v>
      </c>
      <c r="B936" t="s">
        <v>2440</v>
      </c>
    </row>
    <row r="937" spans="1:2" x14ac:dyDescent="0.3">
      <c r="A937" t="s">
        <v>2156</v>
      </c>
      <c r="B937" t="s">
        <v>2441</v>
      </c>
    </row>
    <row r="938" spans="1:2" x14ac:dyDescent="0.3">
      <c r="A938" t="s">
        <v>2156</v>
      </c>
      <c r="B938" t="s">
        <v>2442</v>
      </c>
    </row>
    <row r="939" spans="1:2" x14ac:dyDescent="0.3">
      <c r="A939" t="s">
        <v>2156</v>
      </c>
      <c r="B939" t="s">
        <v>2443</v>
      </c>
    </row>
    <row r="940" spans="1:2" x14ac:dyDescent="0.3">
      <c r="A940" t="s">
        <v>2156</v>
      </c>
      <c r="B940" t="s">
        <v>2444</v>
      </c>
    </row>
    <row r="941" spans="1:2" x14ac:dyDescent="0.3">
      <c r="A941" t="s">
        <v>2156</v>
      </c>
      <c r="B941" t="s">
        <v>2445</v>
      </c>
    </row>
    <row r="942" spans="1:2" x14ac:dyDescent="0.3">
      <c r="A942" t="s">
        <v>2156</v>
      </c>
      <c r="B942" t="s">
        <v>2446</v>
      </c>
    </row>
    <row r="943" spans="1:2" x14ac:dyDescent="0.3">
      <c r="A943" t="s">
        <v>2156</v>
      </c>
      <c r="B943" t="s">
        <v>2447</v>
      </c>
    </row>
    <row r="944" spans="1:2" x14ac:dyDescent="0.3">
      <c r="A944" t="s">
        <v>2156</v>
      </c>
      <c r="B944" t="s">
        <v>2448</v>
      </c>
    </row>
    <row r="945" spans="1:2" x14ac:dyDescent="0.3">
      <c r="A945" t="s">
        <v>2156</v>
      </c>
      <c r="B945" t="s">
        <v>2449</v>
      </c>
    </row>
    <row r="946" spans="1:2" x14ac:dyDescent="0.3">
      <c r="A946" t="s">
        <v>2156</v>
      </c>
      <c r="B946" t="s">
        <v>2450</v>
      </c>
    </row>
    <row r="947" spans="1:2" x14ac:dyDescent="0.3">
      <c r="A947" t="s">
        <v>2156</v>
      </c>
      <c r="B947" t="s">
        <v>2451</v>
      </c>
    </row>
    <row r="948" spans="1:2" x14ac:dyDescent="0.3">
      <c r="A948" t="s">
        <v>2156</v>
      </c>
      <c r="B948" t="s">
        <v>2452</v>
      </c>
    </row>
    <row r="949" spans="1:2" x14ac:dyDescent="0.3">
      <c r="A949" t="s">
        <v>2156</v>
      </c>
      <c r="B949" t="s">
        <v>2453</v>
      </c>
    </row>
    <row r="950" spans="1:2" x14ac:dyDescent="0.3">
      <c r="A950" t="s">
        <v>2156</v>
      </c>
      <c r="B950" t="s">
        <v>2454</v>
      </c>
    </row>
    <row r="951" spans="1:2" x14ac:dyDescent="0.3">
      <c r="A951" t="s">
        <v>2156</v>
      </c>
      <c r="B951" t="s">
        <v>2455</v>
      </c>
    </row>
    <row r="952" spans="1:2" x14ac:dyDescent="0.3">
      <c r="A952" t="s">
        <v>2156</v>
      </c>
      <c r="B952" t="s">
        <v>2456</v>
      </c>
    </row>
    <row r="953" spans="1:2" x14ac:dyDescent="0.3">
      <c r="A953" t="s">
        <v>2156</v>
      </c>
      <c r="B953" t="s">
        <v>2457</v>
      </c>
    </row>
    <row r="954" spans="1:2" x14ac:dyDescent="0.3">
      <c r="A954" t="s">
        <v>2156</v>
      </c>
      <c r="B954" t="s">
        <v>2458</v>
      </c>
    </row>
    <row r="955" spans="1:2" x14ac:dyDescent="0.3">
      <c r="A955" t="s">
        <v>2156</v>
      </c>
      <c r="B955" t="s">
        <v>2459</v>
      </c>
    </row>
    <row r="956" spans="1:2" x14ac:dyDescent="0.3">
      <c r="A956" t="s">
        <v>2156</v>
      </c>
      <c r="B956" t="s">
        <v>2460</v>
      </c>
    </row>
    <row r="957" spans="1:2" x14ac:dyDescent="0.3">
      <c r="A957" t="s">
        <v>2156</v>
      </c>
      <c r="B957" t="s">
        <v>2461</v>
      </c>
    </row>
    <row r="958" spans="1:2" x14ac:dyDescent="0.3">
      <c r="A958" t="s">
        <v>2156</v>
      </c>
      <c r="B958" t="s">
        <v>2462</v>
      </c>
    </row>
    <row r="959" spans="1:2" x14ac:dyDescent="0.3">
      <c r="A959" t="s">
        <v>2156</v>
      </c>
      <c r="B959" t="s">
        <v>2463</v>
      </c>
    </row>
    <row r="960" spans="1:2" x14ac:dyDescent="0.3">
      <c r="A960" t="s">
        <v>2156</v>
      </c>
      <c r="B960" t="s">
        <v>2464</v>
      </c>
    </row>
    <row r="961" spans="1:2" x14ac:dyDescent="0.3">
      <c r="A961" t="s">
        <v>2156</v>
      </c>
      <c r="B961" t="s">
        <v>2465</v>
      </c>
    </row>
    <row r="962" spans="1:2" x14ac:dyDescent="0.3">
      <c r="A962" t="s">
        <v>2156</v>
      </c>
      <c r="B962" t="s">
        <v>2466</v>
      </c>
    </row>
    <row r="963" spans="1:2" x14ac:dyDescent="0.3">
      <c r="A963" t="s">
        <v>2156</v>
      </c>
      <c r="B963" t="s">
        <v>2467</v>
      </c>
    </row>
    <row r="964" spans="1:2" x14ac:dyDescent="0.3">
      <c r="A964" t="s">
        <v>2156</v>
      </c>
      <c r="B964" t="s">
        <v>2468</v>
      </c>
    </row>
    <row r="965" spans="1:2" x14ac:dyDescent="0.3">
      <c r="A965" t="s">
        <v>2156</v>
      </c>
      <c r="B965" t="s">
        <v>2469</v>
      </c>
    </row>
    <row r="966" spans="1:2" x14ac:dyDescent="0.3">
      <c r="A966" t="s">
        <v>2156</v>
      </c>
      <c r="B966" t="s">
        <v>2470</v>
      </c>
    </row>
    <row r="967" spans="1:2" x14ac:dyDescent="0.3">
      <c r="A967" t="s">
        <v>2156</v>
      </c>
      <c r="B967" t="s">
        <v>2471</v>
      </c>
    </row>
    <row r="968" spans="1:2" x14ac:dyDescent="0.3">
      <c r="A968" t="s">
        <v>2156</v>
      </c>
      <c r="B968" t="s">
        <v>2472</v>
      </c>
    </row>
    <row r="969" spans="1:2" x14ac:dyDescent="0.3">
      <c r="A969" t="s">
        <v>2156</v>
      </c>
      <c r="B969" t="s">
        <v>2473</v>
      </c>
    </row>
    <row r="970" spans="1:2" x14ac:dyDescent="0.3">
      <c r="A970" t="s">
        <v>2156</v>
      </c>
      <c r="B970" t="s">
        <v>2474</v>
      </c>
    </row>
    <row r="971" spans="1:2" x14ac:dyDescent="0.3">
      <c r="A971" t="s">
        <v>2156</v>
      </c>
      <c r="B971" t="s">
        <v>2475</v>
      </c>
    </row>
    <row r="972" spans="1:2" x14ac:dyDescent="0.3">
      <c r="A972" t="s">
        <v>2156</v>
      </c>
      <c r="B972" t="s">
        <v>2476</v>
      </c>
    </row>
    <row r="973" spans="1:2" x14ac:dyDescent="0.3">
      <c r="A973" t="s">
        <v>2156</v>
      </c>
      <c r="B973" t="s">
        <v>2035</v>
      </c>
    </row>
    <row r="974" spans="1:2" x14ac:dyDescent="0.3">
      <c r="A974" t="s">
        <v>2156</v>
      </c>
      <c r="B974" t="s">
        <v>2477</v>
      </c>
    </row>
    <row r="975" spans="1:2" x14ac:dyDescent="0.3">
      <c r="A975" t="s">
        <v>2156</v>
      </c>
      <c r="B975" t="s">
        <v>2478</v>
      </c>
    </row>
    <row r="976" spans="1:2" x14ac:dyDescent="0.3">
      <c r="A976" t="s">
        <v>2156</v>
      </c>
      <c r="B976" t="s">
        <v>2479</v>
      </c>
    </row>
    <row r="977" spans="1:2" x14ac:dyDescent="0.3">
      <c r="A977" t="s">
        <v>2156</v>
      </c>
      <c r="B977" t="s">
        <v>2480</v>
      </c>
    </row>
    <row r="978" spans="1:2" x14ac:dyDescent="0.3">
      <c r="A978" t="s">
        <v>2156</v>
      </c>
      <c r="B978" t="s">
        <v>2481</v>
      </c>
    </row>
    <row r="979" spans="1:2" x14ac:dyDescent="0.3">
      <c r="A979" t="s">
        <v>2156</v>
      </c>
      <c r="B979" t="s">
        <v>2482</v>
      </c>
    </row>
    <row r="980" spans="1:2" x14ac:dyDescent="0.3">
      <c r="A980" t="s">
        <v>2156</v>
      </c>
      <c r="B980" t="s">
        <v>2483</v>
      </c>
    </row>
    <row r="981" spans="1:2" x14ac:dyDescent="0.3">
      <c r="A981" t="s">
        <v>2156</v>
      </c>
      <c r="B981" t="s">
        <v>2484</v>
      </c>
    </row>
    <row r="982" spans="1:2" x14ac:dyDescent="0.3">
      <c r="A982" t="s">
        <v>2156</v>
      </c>
      <c r="B982" t="s">
        <v>2485</v>
      </c>
    </row>
    <row r="983" spans="1:2" x14ac:dyDescent="0.3">
      <c r="A983" t="s">
        <v>2156</v>
      </c>
      <c r="B983" t="s">
        <v>2486</v>
      </c>
    </row>
    <row r="984" spans="1:2" x14ac:dyDescent="0.3">
      <c r="A984" t="s">
        <v>2156</v>
      </c>
      <c r="B984" t="s">
        <v>2487</v>
      </c>
    </row>
    <row r="985" spans="1:2" x14ac:dyDescent="0.3">
      <c r="A985" t="s">
        <v>2156</v>
      </c>
      <c r="B985" t="s">
        <v>2488</v>
      </c>
    </row>
    <row r="986" spans="1:2" x14ac:dyDescent="0.3">
      <c r="A986" t="s">
        <v>2156</v>
      </c>
      <c r="B986" t="s">
        <v>2489</v>
      </c>
    </row>
    <row r="987" spans="1:2" x14ac:dyDescent="0.3">
      <c r="A987" t="s">
        <v>2156</v>
      </c>
      <c r="B987" t="s">
        <v>2490</v>
      </c>
    </row>
    <row r="988" spans="1:2" x14ac:dyDescent="0.3">
      <c r="A988" t="s">
        <v>2156</v>
      </c>
      <c r="B988" t="s">
        <v>2491</v>
      </c>
    </row>
    <row r="989" spans="1:2" x14ac:dyDescent="0.3">
      <c r="A989" t="s">
        <v>2156</v>
      </c>
      <c r="B989" t="s">
        <v>2492</v>
      </c>
    </row>
    <row r="990" spans="1:2" x14ac:dyDescent="0.3">
      <c r="A990" t="s">
        <v>2156</v>
      </c>
      <c r="B990" t="s">
        <v>2493</v>
      </c>
    </row>
    <row r="991" spans="1:2" x14ac:dyDescent="0.3">
      <c r="A991" t="s">
        <v>2156</v>
      </c>
      <c r="B991" t="s">
        <v>2494</v>
      </c>
    </row>
    <row r="992" spans="1:2" x14ac:dyDescent="0.3">
      <c r="A992" t="s">
        <v>2156</v>
      </c>
      <c r="B992" t="s">
        <v>2495</v>
      </c>
    </row>
    <row r="993" spans="1:2" x14ac:dyDescent="0.3">
      <c r="A993" t="s">
        <v>2156</v>
      </c>
      <c r="B993" t="s">
        <v>2496</v>
      </c>
    </row>
    <row r="994" spans="1:2" x14ac:dyDescent="0.3">
      <c r="A994" t="s">
        <v>2156</v>
      </c>
      <c r="B994" t="s">
        <v>2497</v>
      </c>
    </row>
    <row r="995" spans="1:2" x14ac:dyDescent="0.3">
      <c r="A995" t="s">
        <v>2156</v>
      </c>
      <c r="B995" t="s">
        <v>2498</v>
      </c>
    </row>
    <row r="996" spans="1:2" x14ac:dyDescent="0.3">
      <c r="A996" t="s">
        <v>2156</v>
      </c>
      <c r="B996" t="s">
        <v>2499</v>
      </c>
    </row>
    <row r="997" spans="1:2" x14ac:dyDescent="0.3">
      <c r="A997" t="s">
        <v>2156</v>
      </c>
      <c r="B997" t="s">
        <v>2500</v>
      </c>
    </row>
    <row r="998" spans="1:2" x14ac:dyDescent="0.3">
      <c r="A998" t="s">
        <v>2156</v>
      </c>
      <c r="B998" t="s">
        <v>2501</v>
      </c>
    </row>
    <row r="999" spans="1:2" x14ac:dyDescent="0.3">
      <c r="A999" t="s">
        <v>2156</v>
      </c>
      <c r="B999" t="s">
        <v>2502</v>
      </c>
    </row>
    <row r="1000" spans="1:2" x14ac:dyDescent="0.3">
      <c r="A1000" t="s">
        <v>2156</v>
      </c>
      <c r="B1000" t="s">
        <v>2503</v>
      </c>
    </row>
    <row r="1001" spans="1:2" x14ac:dyDescent="0.3">
      <c r="A1001" t="s">
        <v>2156</v>
      </c>
      <c r="B1001" t="s">
        <v>2504</v>
      </c>
    </row>
    <row r="1002" spans="1:2" x14ac:dyDescent="0.3">
      <c r="A1002" t="s">
        <v>2156</v>
      </c>
      <c r="B1002" t="s">
        <v>2505</v>
      </c>
    </row>
    <row r="1003" spans="1:2" x14ac:dyDescent="0.3">
      <c r="A1003" t="s">
        <v>2156</v>
      </c>
      <c r="B1003" t="s">
        <v>2506</v>
      </c>
    </row>
    <row r="1004" spans="1:2" x14ac:dyDescent="0.3">
      <c r="A1004" t="s">
        <v>2156</v>
      </c>
      <c r="B1004" t="s">
        <v>2507</v>
      </c>
    </row>
    <row r="1005" spans="1:2" x14ac:dyDescent="0.3">
      <c r="A1005" t="s">
        <v>2156</v>
      </c>
      <c r="B1005" t="s">
        <v>2508</v>
      </c>
    </row>
    <row r="1006" spans="1:2" x14ac:dyDescent="0.3">
      <c r="A1006" t="s">
        <v>2156</v>
      </c>
      <c r="B1006" t="s">
        <v>2509</v>
      </c>
    </row>
    <row r="1007" spans="1:2" x14ac:dyDescent="0.3">
      <c r="A1007" t="s">
        <v>2156</v>
      </c>
      <c r="B1007" t="s">
        <v>2510</v>
      </c>
    </row>
    <row r="1008" spans="1:2" x14ac:dyDescent="0.3">
      <c r="A1008" t="s">
        <v>2156</v>
      </c>
      <c r="B1008" t="s">
        <v>2511</v>
      </c>
    </row>
    <row r="1009" spans="1:2" x14ac:dyDescent="0.3">
      <c r="A1009" t="s">
        <v>2156</v>
      </c>
      <c r="B1009" t="s">
        <v>2512</v>
      </c>
    </row>
    <row r="1010" spans="1:2" x14ac:dyDescent="0.3">
      <c r="A1010" t="s">
        <v>2156</v>
      </c>
      <c r="B1010" t="s">
        <v>2513</v>
      </c>
    </row>
    <row r="1011" spans="1:2" x14ac:dyDescent="0.3">
      <c r="A1011" t="s">
        <v>2156</v>
      </c>
      <c r="B1011" t="s">
        <v>2514</v>
      </c>
    </row>
    <row r="1012" spans="1:2" x14ac:dyDescent="0.3">
      <c r="A1012" t="s">
        <v>2156</v>
      </c>
      <c r="B1012" t="s">
        <v>2515</v>
      </c>
    </row>
    <row r="1013" spans="1:2" x14ac:dyDescent="0.3">
      <c r="A1013" t="s">
        <v>2156</v>
      </c>
      <c r="B1013" t="s">
        <v>2516</v>
      </c>
    </row>
    <row r="1014" spans="1:2" x14ac:dyDescent="0.3">
      <c r="A1014" t="s">
        <v>2156</v>
      </c>
      <c r="B1014" t="s">
        <v>2517</v>
      </c>
    </row>
    <row r="1015" spans="1:2" x14ac:dyDescent="0.3">
      <c r="A1015" t="s">
        <v>2156</v>
      </c>
      <c r="B1015" t="s">
        <v>2518</v>
      </c>
    </row>
    <row r="1016" spans="1:2" x14ac:dyDescent="0.3">
      <c r="A1016" t="s">
        <v>2156</v>
      </c>
      <c r="B1016" t="s">
        <v>2519</v>
      </c>
    </row>
    <row r="1017" spans="1:2" x14ac:dyDescent="0.3">
      <c r="A1017" t="s">
        <v>2156</v>
      </c>
      <c r="B1017" t="s">
        <v>2520</v>
      </c>
    </row>
    <row r="1018" spans="1:2" x14ac:dyDescent="0.3">
      <c r="A1018" t="s">
        <v>2156</v>
      </c>
      <c r="B1018" t="s">
        <v>2521</v>
      </c>
    </row>
    <row r="1019" spans="1:2" x14ac:dyDescent="0.3">
      <c r="A1019" t="s">
        <v>2156</v>
      </c>
      <c r="B1019" t="s">
        <v>2522</v>
      </c>
    </row>
    <row r="1020" spans="1:2" x14ac:dyDescent="0.3">
      <c r="A1020" t="s">
        <v>2156</v>
      </c>
      <c r="B1020" t="s">
        <v>2523</v>
      </c>
    </row>
    <row r="1021" spans="1:2" x14ac:dyDescent="0.3">
      <c r="A1021" t="s">
        <v>2156</v>
      </c>
      <c r="B1021" t="s">
        <v>2524</v>
      </c>
    </row>
    <row r="1022" spans="1:2" x14ac:dyDescent="0.3">
      <c r="A1022" t="s">
        <v>2156</v>
      </c>
      <c r="B1022" t="s">
        <v>2118</v>
      </c>
    </row>
    <row r="1023" spans="1:2" x14ac:dyDescent="0.3">
      <c r="A1023" t="s">
        <v>2156</v>
      </c>
      <c r="B1023" t="s">
        <v>2525</v>
      </c>
    </row>
    <row r="1024" spans="1:2" x14ac:dyDescent="0.3">
      <c r="A1024" t="s">
        <v>2156</v>
      </c>
      <c r="B1024" t="s">
        <v>2526</v>
      </c>
    </row>
    <row r="1025" spans="1:2" x14ac:dyDescent="0.3">
      <c r="A1025" t="s">
        <v>2156</v>
      </c>
      <c r="B1025" t="s">
        <v>2527</v>
      </c>
    </row>
    <row r="1026" spans="1:2" x14ac:dyDescent="0.3">
      <c r="A1026" t="s">
        <v>2156</v>
      </c>
      <c r="B1026" t="s">
        <v>2528</v>
      </c>
    </row>
    <row r="1027" spans="1:2" x14ac:dyDescent="0.3">
      <c r="A1027" t="s">
        <v>2156</v>
      </c>
      <c r="B1027" t="s">
        <v>2529</v>
      </c>
    </row>
    <row r="1028" spans="1:2" x14ac:dyDescent="0.3">
      <c r="A1028" t="s">
        <v>2156</v>
      </c>
      <c r="B1028" t="s">
        <v>2530</v>
      </c>
    </row>
    <row r="1029" spans="1:2" x14ac:dyDescent="0.3">
      <c r="A1029" t="s">
        <v>2156</v>
      </c>
      <c r="B1029" t="s">
        <v>2531</v>
      </c>
    </row>
    <row r="1030" spans="1:2" x14ac:dyDescent="0.3">
      <c r="A1030" t="s">
        <v>2156</v>
      </c>
      <c r="B1030" t="s">
        <v>2532</v>
      </c>
    </row>
    <row r="1031" spans="1:2" x14ac:dyDescent="0.3">
      <c r="A1031" t="s">
        <v>2156</v>
      </c>
      <c r="B1031" t="s">
        <v>2533</v>
      </c>
    </row>
    <row r="1032" spans="1:2" x14ac:dyDescent="0.3">
      <c r="A1032" t="s">
        <v>2156</v>
      </c>
      <c r="B1032" t="s">
        <v>2534</v>
      </c>
    </row>
    <row r="1033" spans="1:2" x14ac:dyDescent="0.3">
      <c r="A1033" t="s">
        <v>2156</v>
      </c>
      <c r="B1033" t="s">
        <v>2535</v>
      </c>
    </row>
    <row r="1034" spans="1:2" x14ac:dyDescent="0.3">
      <c r="A1034" t="s">
        <v>2156</v>
      </c>
      <c r="B1034" t="s">
        <v>2536</v>
      </c>
    </row>
    <row r="1035" spans="1:2" x14ac:dyDescent="0.3">
      <c r="A1035" t="s">
        <v>2156</v>
      </c>
      <c r="B1035" t="s">
        <v>2537</v>
      </c>
    </row>
    <row r="1036" spans="1:2" x14ac:dyDescent="0.3">
      <c r="A1036" t="s">
        <v>2156</v>
      </c>
      <c r="B1036" t="s">
        <v>2538</v>
      </c>
    </row>
    <row r="1037" spans="1:2" x14ac:dyDescent="0.3">
      <c r="A1037" t="s">
        <v>2156</v>
      </c>
      <c r="B1037" t="s">
        <v>2539</v>
      </c>
    </row>
    <row r="1038" spans="1:2" x14ac:dyDescent="0.3">
      <c r="A1038" t="s">
        <v>2156</v>
      </c>
      <c r="B1038" t="s">
        <v>2540</v>
      </c>
    </row>
    <row r="1039" spans="1:2" x14ac:dyDescent="0.3">
      <c r="A1039" t="s">
        <v>2156</v>
      </c>
      <c r="B1039" t="s">
        <v>2541</v>
      </c>
    </row>
    <row r="1040" spans="1:2" x14ac:dyDescent="0.3">
      <c r="A1040" t="s">
        <v>2156</v>
      </c>
      <c r="B1040" t="s">
        <v>2542</v>
      </c>
    </row>
    <row r="1041" spans="1:2" x14ac:dyDescent="0.3">
      <c r="A1041" t="s">
        <v>2156</v>
      </c>
      <c r="B1041" t="s">
        <v>2543</v>
      </c>
    </row>
    <row r="1042" spans="1:2" x14ac:dyDescent="0.3">
      <c r="A1042" t="s">
        <v>2156</v>
      </c>
      <c r="B1042" t="s">
        <v>2544</v>
      </c>
    </row>
    <row r="1043" spans="1:2" x14ac:dyDescent="0.3">
      <c r="A1043" t="s">
        <v>2156</v>
      </c>
      <c r="B1043" t="s">
        <v>2545</v>
      </c>
    </row>
    <row r="1044" spans="1:2" x14ac:dyDescent="0.3">
      <c r="A1044" t="s">
        <v>2156</v>
      </c>
      <c r="B1044" t="s">
        <v>2546</v>
      </c>
    </row>
    <row r="1045" spans="1:2" x14ac:dyDescent="0.3">
      <c r="A1045" t="s">
        <v>2156</v>
      </c>
      <c r="B1045" t="s">
        <v>2547</v>
      </c>
    </row>
    <row r="1046" spans="1:2" x14ac:dyDescent="0.3">
      <c r="A1046" t="s">
        <v>2548</v>
      </c>
      <c r="B1046" t="s">
        <v>2549</v>
      </c>
    </row>
    <row r="1047" spans="1:2" x14ac:dyDescent="0.3">
      <c r="A1047" t="s">
        <v>2548</v>
      </c>
      <c r="B1047" t="s">
        <v>2550</v>
      </c>
    </row>
    <row r="1048" spans="1:2" x14ac:dyDescent="0.3">
      <c r="A1048" t="s">
        <v>2548</v>
      </c>
      <c r="B1048" t="s">
        <v>2551</v>
      </c>
    </row>
    <row r="1049" spans="1:2" x14ac:dyDescent="0.3">
      <c r="A1049" t="s">
        <v>2548</v>
      </c>
      <c r="B1049" t="s">
        <v>2552</v>
      </c>
    </row>
    <row r="1050" spans="1:2" x14ac:dyDescent="0.3">
      <c r="A1050" t="s">
        <v>2548</v>
      </c>
      <c r="B1050" t="s">
        <v>2553</v>
      </c>
    </row>
    <row r="1051" spans="1:2" x14ac:dyDescent="0.3">
      <c r="A1051" t="s">
        <v>2548</v>
      </c>
      <c r="B1051" t="s">
        <v>2554</v>
      </c>
    </row>
    <row r="1052" spans="1:2" x14ac:dyDescent="0.3">
      <c r="A1052" t="s">
        <v>2548</v>
      </c>
      <c r="B1052" t="s">
        <v>2555</v>
      </c>
    </row>
    <row r="1053" spans="1:2" x14ac:dyDescent="0.3">
      <c r="A1053" t="s">
        <v>2548</v>
      </c>
      <c r="B1053" t="s">
        <v>2556</v>
      </c>
    </row>
    <row r="1054" spans="1:2" x14ac:dyDescent="0.3">
      <c r="A1054" t="s">
        <v>2548</v>
      </c>
      <c r="B1054" t="s">
        <v>2557</v>
      </c>
    </row>
    <row r="1055" spans="1:2" x14ac:dyDescent="0.3">
      <c r="A1055" t="s">
        <v>2548</v>
      </c>
      <c r="B1055" t="s">
        <v>2558</v>
      </c>
    </row>
    <row r="1056" spans="1:2" x14ac:dyDescent="0.3">
      <c r="A1056" t="s">
        <v>2548</v>
      </c>
      <c r="B1056" t="s">
        <v>2559</v>
      </c>
    </row>
    <row r="1057" spans="1:2" x14ac:dyDescent="0.3">
      <c r="A1057" t="s">
        <v>2548</v>
      </c>
      <c r="B1057" t="s">
        <v>2560</v>
      </c>
    </row>
    <row r="1058" spans="1:2" x14ac:dyDescent="0.3">
      <c r="A1058" t="s">
        <v>2548</v>
      </c>
      <c r="B1058" t="s">
        <v>2561</v>
      </c>
    </row>
    <row r="1059" spans="1:2" x14ac:dyDescent="0.3">
      <c r="A1059" t="s">
        <v>2548</v>
      </c>
      <c r="B1059" t="s">
        <v>2562</v>
      </c>
    </row>
    <row r="1060" spans="1:2" x14ac:dyDescent="0.3">
      <c r="A1060" t="s">
        <v>2548</v>
      </c>
      <c r="B1060" t="s">
        <v>2563</v>
      </c>
    </row>
    <row r="1061" spans="1:2" x14ac:dyDescent="0.3">
      <c r="A1061" t="s">
        <v>2548</v>
      </c>
      <c r="B1061" t="s">
        <v>2564</v>
      </c>
    </row>
    <row r="1062" spans="1:2" x14ac:dyDescent="0.3">
      <c r="A1062" t="s">
        <v>2548</v>
      </c>
      <c r="B1062" t="s">
        <v>2565</v>
      </c>
    </row>
    <row r="1063" spans="1:2" x14ac:dyDescent="0.3">
      <c r="A1063" t="s">
        <v>2548</v>
      </c>
      <c r="B1063" t="s">
        <v>2566</v>
      </c>
    </row>
    <row r="1064" spans="1:2" x14ac:dyDescent="0.3">
      <c r="A1064" t="s">
        <v>2548</v>
      </c>
      <c r="B1064" t="s">
        <v>2567</v>
      </c>
    </row>
    <row r="1065" spans="1:2" x14ac:dyDescent="0.3">
      <c r="A1065" t="s">
        <v>2548</v>
      </c>
      <c r="B1065" t="s">
        <v>2568</v>
      </c>
    </row>
    <row r="1066" spans="1:2" x14ac:dyDescent="0.3">
      <c r="A1066" t="s">
        <v>2548</v>
      </c>
      <c r="B1066" t="s">
        <v>2569</v>
      </c>
    </row>
    <row r="1067" spans="1:2" x14ac:dyDescent="0.3">
      <c r="A1067" t="s">
        <v>2548</v>
      </c>
      <c r="B1067" t="s">
        <v>2570</v>
      </c>
    </row>
    <row r="1068" spans="1:2" x14ac:dyDescent="0.3">
      <c r="A1068" t="s">
        <v>2548</v>
      </c>
      <c r="B1068" t="s">
        <v>2571</v>
      </c>
    </row>
    <row r="1069" spans="1:2" x14ac:dyDescent="0.3">
      <c r="A1069" t="s">
        <v>2548</v>
      </c>
      <c r="B1069" t="s">
        <v>2572</v>
      </c>
    </row>
    <row r="1070" spans="1:2" x14ac:dyDescent="0.3">
      <c r="A1070" t="s">
        <v>2548</v>
      </c>
      <c r="B1070" t="s">
        <v>2573</v>
      </c>
    </row>
    <row r="1071" spans="1:2" x14ac:dyDescent="0.3">
      <c r="A1071" t="s">
        <v>2548</v>
      </c>
      <c r="B1071" t="s">
        <v>2574</v>
      </c>
    </row>
    <row r="1072" spans="1:2" x14ac:dyDescent="0.3">
      <c r="A1072" t="s">
        <v>2548</v>
      </c>
      <c r="B1072" t="s">
        <v>2575</v>
      </c>
    </row>
    <row r="1073" spans="1:2" x14ac:dyDescent="0.3">
      <c r="A1073" t="s">
        <v>2548</v>
      </c>
      <c r="B1073" t="s">
        <v>2576</v>
      </c>
    </row>
    <row r="1074" spans="1:2" x14ac:dyDescent="0.3">
      <c r="A1074" t="s">
        <v>2548</v>
      </c>
      <c r="B1074" t="s">
        <v>2577</v>
      </c>
    </row>
    <row r="1075" spans="1:2" x14ac:dyDescent="0.3">
      <c r="A1075" t="s">
        <v>2548</v>
      </c>
      <c r="B1075" t="s">
        <v>2578</v>
      </c>
    </row>
    <row r="1076" spans="1:2" x14ac:dyDescent="0.3">
      <c r="A1076" t="s">
        <v>2548</v>
      </c>
      <c r="B1076" t="s">
        <v>1570</v>
      </c>
    </row>
    <row r="1077" spans="1:2" x14ac:dyDescent="0.3">
      <c r="A1077" t="s">
        <v>2548</v>
      </c>
      <c r="B1077" t="s">
        <v>2579</v>
      </c>
    </row>
    <row r="1078" spans="1:2" x14ac:dyDescent="0.3">
      <c r="A1078" t="s">
        <v>2548</v>
      </c>
      <c r="B1078" t="s">
        <v>2580</v>
      </c>
    </row>
    <row r="1079" spans="1:2" x14ac:dyDescent="0.3">
      <c r="A1079" t="s">
        <v>2548</v>
      </c>
      <c r="B1079" t="s">
        <v>2581</v>
      </c>
    </row>
    <row r="1080" spans="1:2" x14ac:dyDescent="0.3">
      <c r="A1080" t="s">
        <v>2548</v>
      </c>
      <c r="B1080" t="s">
        <v>2582</v>
      </c>
    </row>
    <row r="1081" spans="1:2" x14ac:dyDescent="0.3">
      <c r="A1081" t="s">
        <v>2548</v>
      </c>
      <c r="B1081" t="s">
        <v>2583</v>
      </c>
    </row>
    <row r="1082" spans="1:2" x14ac:dyDescent="0.3">
      <c r="A1082" t="s">
        <v>2548</v>
      </c>
      <c r="B1082" t="s">
        <v>2584</v>
      </c>
    </row>
    <row r="1083" spans="1:2" x14ac:dyDescent="0.3">
      <c r="A1083" t="s">
        <v>2548</v>
      </c>
      <c r="B1083" t="s">
        <v>2585</v>
      </c>
    </row>
    <row r="1084" spans="1:2" x14ac:dyDescent="0.3">
      <c r="A1084" t="s">
        <v>2548</v>
      </c>
      <c r="B1084" t="s">
        <v>2586</v>
      </c>
    </row>
    <row r="1085" spans="1:2" x14ac:dyDescent="0.3">
      <c r="A1085" t="s">
        <v>2548</v>
      </c>
      <c r="B1085" t="s">
        <v>2587</v>
      </c>
    </row>
    <row r="1086" spans="1:2" x14ac:dyDescent="0.3">
      <c r="A1086" t="s">
        <v>2548</v>
      </c>
      <c r="B1086" t="s">
        <v>2588</v>
      </c>
    </row>
    <row r="1087" spans="1:2" x14ac:dyDescent="0.3">
      <c r="A1087" t="s">
        <v>2548</v>
      </c>
      <c r="B1087" t="s">
        <v>2589</v>
      </c>
    </row>
    <row r="1088" spans="1:2" x14ac:dyDescent="0.3">
      <c r="A1088" t="s">
        <v>2548</v>
      </c>
      <c r="B1088" t="s">
        <v>2590</v>
      </c>
    </row>
    <row r="1089" spans="1:2" x14ac:dyDescent="0.3">
      <c r="A1089" t="s">
        <v>2548</v>
      </c>
      <c r="B1089" t="s">
        <v>2591</v>
      </c>
    </row>
    <row r="1090" spans="1:2" x14ac:dyDescent="0.3">
      <c r="A1090" t="s">
        <v>2548</v>
      </c>
      <c r="B1090" t="s">
        <v>2592</v>
      </c>
    </row>
    <row r="1091" spans="1:2" x14ac:dyDescent="0.3">
      <c r="A1091" t="s">
        <v>2548</v>
      </c>
      <c r="B1091" t="s">
        <v>2593</v>
      </c>
    </row>
    <row r="1092" spans="1:2" x14ac:dyDescent="0.3">
      <c r="A1092" t="s">
        <v>2548</v>
      </c>
      <c r="B1092" t="s">
        <v>2594</v>
      </c>
    </row>
    <row r="1093" spans="1:2" x14ac:dyDescent="0.3">
      <c r="A1093" t="s">
        <v>2548</v>
      </c>
      <c r="B1093" t="s">
        <v>2595</v>
      </c>
    </row>
    <row r="1094" spans="1:2" x14ac:dyDescent="0.3">
      <c r="A1094" t="s">
        <v>2548</v>
      </c>
      <c r="B1094" t="s">
        <v>2596</v>
      </c>
    </row>
    <row r="1095" spans="1:2" x14ac:dyDescent="0.3">
      <c r="A1095" t="s">
        <v>2548</v>
      </c>
      <c r="B1095" t="s">
        <v>2597</v>
      </c>
    </row>
    <row r="1096" spans="1:2" x14ac:dyDescent="0.3">
      <c r="A1096" t="s">
        <v>2548</v>
      </c>
      <c r="B1096" t="s">
        <v>2598</v>
      </c>
    </row>
    <row r="1097" spans="1:2" x14ac:dyDescent="0.3">
      <c r="A1097" t="s">
        <v>2548</v>
      </c>
      <c r="B1097" t="s">
        <v>2599</v>
      </c>
    </row>
    <row r="1098" spans="1:2" x14ac:dyDescent="0.3">
      <c r="A1098" t="s">
        <v>2548</v>
      </c>
      <c r="B1098" t="s">
        <v>2600</v>
      </c>
    </row>
    <row r="1099" spans="1:2" x14ac:dyDescent="0.3">
      <c r="A1099" t="s">
        <v>2548</v>
      </c>
      <c r="B1099" t="s">
        <v>2601</v>
      </c>
    </row>
    <row r="1100" spans="1:2" x14ac:dyDescent="0.3">
      <c r="A1100" t="s">
        <v>2548</v>
      </c>
      <c r="B1100" t="s">
        <v>2602</v>
      </c>
    </row>
    <row r="1101" spans="1:2" x14ac:dyDescent="0.3">
      <c r="A1101" t="s">
        <v>2548</v>
      </c>
      <c r="B1101" t="s">
        <v>2603</v>
      </c>
    </row>
    <row r="1102" spans="1:2" x14ac:dyDescent="0.3">
      <c r="A1102" t="s">
        <v>2548</v>
      </c>
      <c r="B1102" t="s">
        <v>2604</v>
      </c>
    </row>
    <row r="1103" spans="1:2" x14ac:dyDescent="0.3">
      <c r="A1103" t="s">
        <v>2548</v>
      </c>
      <c r="B1103" t="s">
        <v>2605</v>
      </c>
    </row>
    <row r="1104" spans="1:2" x14ac:dyDescent="0.3">
      <c r="A1104" t="s">
        <v>2548</v>
      </c>
      <c r="B1104" t="s">
        <v>2606</v>
      </c>
    </row>
    <row r="1105" spans="1:2" x14ac:dyDescent="0.3">
      <c r="A1105" t="s">
        <v>2548</v>
      </c>
      <c r="B1105" t="s">
        <v>2607</v>
      </c>
    </row>
    <row r="1106" spans="1:2" x14ac:dyDescent="0.3">
      <c r="A1106" t="s">
        <v>2548</v>
      </c>
      <c r="B1106" t="s">
        <v>2608</v>
      </c>
    </row>
    <row r="1107" spans="1:2" x14ac:dyDescent="0.3">
      <c r="A1107" t="s">
        <v>2548</v>
      </c>
      <c r="B1107" t="s">
        <v>2226</v>
      </c>
    </row>
    <row r="1108" spans="1:2" x14ac:dyDescent="0.3">
      <c r="A1108" t="s">
        <v>2548</v>
      </c>
      <c r="B1108" t="s">
        <v>2609</v>
      </c>
    </row>
    <row r="1109" spans="1:2" x14ac:dyDescent="0.3">
      <c r="A1109" t="s">
        <v>2548</v>
      </c>
      <c r="B1109" t="s">
        <v>2610</v>
      </c>
    </row>
    <row r="1110" spans="1:2" x14ac:dyDescent="0.3">
      <c r="A1110" t="s">
        <v>2548</v>
      </c>
      <c r="B1110" t="s">
        <v>2611</v>
      </c>
    </row>
    <row r="1111" spans="1:2" x14ac:dyDescent="0.3">
      <c r="A1111" t="s">
        <v>2548</v>
      </c>
      <c r="B1111" t="s">
        <v>2612</v>
      </c>
    </row>
    <row r="1112" spans="1:2" x14ac:dyDescent="0.3">
      <c r="A1112" t="s">
        <v>2548</v>
      </c>
      <c r="B1112" t="s">
        <v>2613</v>
      </c>
    </row>
    <row r="1113" spans="1:2" x14ac:dyDescent="0.3">
      <c r="A1113" t="s">
        <v>2548</v>
      </c>
      <c r="B1113" t="s">
        <v>2614</v>
      </c>
    </row>
    <row r="1114" spans="1:2" x14ac:dyDescent="0.3">
      <c r="A1114" t="s">
        <v>2548</v>
      </c>
      <c r="B1114" t="s">
        <v>2615</v>
      </c>
    </row>
    <row r="1115" spans="1:2" x14ac:dyDescent="0.3">
      <c r="A1115" t="s">
        <v>2548</v>
      </c>
      <c r="B1115" t="s">
        <v>2616</v>
      </c>
    </row>
    <row r="1116" spans="1:2" x14ac:dyDescent="0.3">
      <c r="A1116" t="s">
        <v>2548</v>
      </c>
      <c r="B1116" t="s">
        <v>2617</v>
      </c>
    </row>
    <row r="1117" spans="1:2" x14ac:dyDescent="0.3">
      <c r="A1117" t="s">
        <v>2548</v>
      </c>
      <c r="B1117" t="s">
        <v>2618</v>
      </c>
    </row>
    <row r="1118" spans="1:2" x14ac:dyDescent="0.3">
      <c r="A1118" t="s">
        <v>2548</v>
      </c>
      <c r="B1118" t="s">
        <v>2619</v>
      </c>
    </row>
    <row r="1119" spans="1:2" x14ac:dyDescent="0.3">
      <c r="A1119" t="s">
        <v>2548</v>
      </c>
      <c r="B1119" t="s">
        <v>2620</v>
      </c>
    </row>
    <row r="1120" spans="1:2" x14ac:dyDescent="0.3">
      <c r="A1120" t="s">
        <v>2548</v>
      </c>
      <c r="B1120" t="s">
        <v>2621</v>
      </c>
    </row>
    <row r="1121" spans="1:2" x14ac:dyDescent="0.3">
      <c r="A1121" t="s">
        <v>2548</v>
      </c>
      <c r="B1121" t="s">
        <v>2622</v>
      </c>
    </row>
    <row r="1122" spans="1:2" x14ac:dyDescent="0.3">
      <c r="A1122" t="s">
        <v>2548</v>
      </c>
      <c r="B1122" t="s">
        <v>2623</v>
      </c>
    </row>
    <row r="1123" spans="1:2" x14ac:dyDescent="0.3">
      <c r="A1123" t="s">
        <v>2548</v>
      </c>
      <c r="B1123" t="s">
        <v>2624</v>
      </c>
    </row>
    <row r="1124" spans="1:2" x14ac:dyDescent="0.3">
      <c r="A1124" t="s">
        <v>2548</v>
      </c>
      <c r="B1124" t="s">
        <v>2625</v>
      </c>
    </row>
    <row r="1125" spans="1:2" x14ac:dyDescent="0.3">
      <c r="A1125" t="s">
        <v>2548</v>
      </c>
      <c r="B1125" t="s">
        <v>2626</v>
      </c>
    </row>
    <row r="1126" spans="1:2" x14ac:dyDescent="0.3">
      <c r="A1126" t="s">
        <v>2548</v>
      </c>
      <c r="B1126" t="s">
        <v>2627</v>
      </c>
    </row>
    <row r="1127" spans="1:2" x14ac:dyDescent="0.3">
      <c r="A1127" t="s">
        <v>2548</v>
      </c>
      <c r="B1127" t="s">
        <v>2628</v>
      </c>
    </row>
    <row r="1128" spans="1:2" x14ac:dyDescent="0.3">
      <c r="A1128" t="s">
        <v>2548</v>
      </c>
      <c r="B1128" t="s">
        <v>2629</v>
      </c>
    </row>
    <row r="1129" spans="1:2" x14ac:dyDescent="0.3">
      <c r="A1129" t="s">
        <v>2548</v>
      </c>
      <c r="B1129" t="s">
        <v>2630</v>
      </c>
    </row>
    <row r="1130" spans="1:2" x14ac:dyDescent="0.3">
      <c r="A1130" t="s">
        <v>2548</v>
      </c>
      <c r="B1130" t="s">
        <v>2631</v>
      </c>
    </row>
    <row r="1131" spans="1:2" x14ac:dyDescent="0.3">
      <c r="A1131" t="s">
        <v>2548</v>
      </c>
      <c r="B1131" t="s">
        <v>2632</v>
      </c>
    </row>
    <row r="1132" spans="1:2" x14ac:dyDescent="0.3">
      <c r="A1132" t="s">
        <v>2548</v>
      </c>
      <c r="B1132" t="s">
        <v>2633</v>
      </c>
    </row>
    <row r="1133" spans="1:2" x14ac:dyDescent="0.3">
      <c r="A1133" t="s">
        <v>2548</v>
      </c>
      <c r="B1133" t="s">
        <v>2634</v>
      </c>
    </row>
    <row r="1134" spans="1:2" x14ac:dyDescent="0.3">
      <c r="A1134" t="s">
        <v>2548</v>
      </c>
      <c r="B1134" t="s">
        <v>2635</v>
      </c>
    </row>
    <row r="1135" spans="1:2" x14ac:dyDescent="0.3">
      <c r="A1135" t="s">
        <v>2548</v>
      </c>
      <c r="B1135" t="s">
        <v>2636</v>
      </c>
    </row>
    <row r="1136" spans="1:2" x14ac:dyDescent="0.3">
      <c r="A1136" t="s">
        <v>2548</v>
      </c>
      <c r="B1136" t="s">
        <v>2637</v>
      </c>
    </row>
    <row r="1137" spans="1:2" x14ac:dyDescent="0.3">
      <c r="A1137" t="s">
        <v>2548</v>
      </c>
      <c r="B1137" t="s">
        <v>2638</v>
      </c>
    </row>
    <row r="1138" spans="1:2" x14ac:dyDescent="0.3">
      <c r="A1138" t="s">
        <v>2548</v>
      </c>
      <c r="B1138" t="s">
        <v>2639</v>
      </c>
    </row>
    <row r="1139" spans="1:2" x14ac:dyDescent="0.3">
      <c r="A1139" t="s">
        <v>2548</v>
      </c>
      <c r="B1139" t="s">
        <v>2640</v>
      </c>
    </row>
    <row r="1140" spans="1:2" x14ac:dyDescent="0.3">
      <c r="A1140" t="s">
        <v>2548</v>
      </c>
      <c r="B1140" t="s">
        <v>2641</v>
      </c>
    </row>
    <row r="1141" spans="1:2" x14ac:dyDescent="0.3">
      <c r="A1141" t="s">
        <v>2548</v>
      </c>
      <c r="B1141" t="s">
        <v>2642</v>
      </c>
    </row>
    <row r="1142" spans="1:2" x14ac:dyDescent="0.3">
      <c r="A1142" t="s">
        <v>2548</v>
      </c>
      <c r="B1142" t="s">
        <v>2643</v>
      </c>
    </row>
    <row r="1143" spans="1:2" x14ac:dyDescent="0.3">
      <c r="A1143" t="s">
        <v>2548</v>
      </c>
      <c r="B1143" t="s">
        <v>2644</v>
      </c>
    </row>
    <row r="1144" spans="1:2" x14ac:dyDescent="0.3">
      <c r="A1144" t="s">
        <v>2548</v>
      </c>
      <c r="B1144" t="s">
        <v>2645</v>
      </c>
    </row>
    <row r="1145" spans="1:2" x14ac:dyDescent="0.3">
      <c r="A1145" t="s">
        <v>2548</v>
      </c>
      <c r="B1145" t="s">
        <v>2646</v>
      </c>
    </row>
    <row r="1146" spans="1:2" x14ac:dyDescent="0.3">
      <c r="A1146" t="s">
        <v>2548</v>
      </c>
      <c r="B1146" t="s">
        <v>2647</v>
      </c>
    </row>
    <row r="1147" spans="1:2" x14ac:dyDescent="0.3">
      <c r="A1147" t="s">
        <v>2548</v>
      </c>
      <c r="B1147" t="s">
        <v>2648</v>
      </c>
    </row>
    <row r="1148" spans="1:2" x14ac:dyDescent="0.3">
      <c r="A1148" t="s">
        <v>2548</v>
      </c>
      <c r="B1148" t="s">
        <v>2649</v>
      </c>
    </row>
    <row r="1149" spans="1:2" x14ac:dyDescent="0.3">
      <c r="A1149" t="s">
        <v>2548</v>
      </c>
      <c r="B1149" t="s">
        <v>2650</v>
      </c>
    </row>
    <row r="1150" spans="1:2" x14ac:dyDescent="0.3">
      <c r="A1150" t="s">
        <v>2548</v>
      </c>
      <c r="B1150" t="s">
        <v>2651</v>
      </c>
    </row>
    <row r="1151" spans="1:2" x14ac:dyDescent="0.3">
      <c r="A1151" t="s">
        <v>2548</v>
      </c>
      <c r="B1151" t="s">
        <v>2652</v>
      </c>
    </row>
    <row r="1152" spans="1:2" x14ac:dyDescent="0.3">
      <c r="A1152" t="s">
        <v>2548</v>
      </c>
      <c r="B1152" t="s">
        <v>2653</v>
      </c>
    </row>
    <row r="1153" spans="1:2" x14ac:dyDescent="0.3">
      <c r="A1153" t="s">
        <v>2548</v>
      </c>
      <c r="B1153" t="s">
        <v>2654</v>
      </c>
    </row>
    <row r="1154" spans="1:2" x14ac:dyDescent="0.3">
      <c r="A1154" t="s">
        <v>2548</v>
      </c>
      <c r="B1154" t="s">
        <v>2655</v>
      </c>
    </row>
    <row r="1155" spans="1:2" x14ac:dyDescent="0.3">
      <c r="A1155" t="s">
        <v>2548</v>
      </c>
      <c r="B1155" t="s">
        <v>2656</v>
      </c>
    </row>
    <row r="1156" spans="1:2" x14ac:dyDescent="0.3">
      <c r="A1156" t="s">
        <v>2548</v>
      </c>
      <c r="B1156" t="s">
        <v>2657</v>
      </c>
    </row>
    <row r="1157" spans="1:2" x14ac:dyDescent="0.3">
      <c r="A1157" t="s">
        <v>2548</v>
      </c>
      <c r="B1157" t="s">
        <v>2658</v>
      </c>
    </row>
    <row r="1158" spans="1:2" x14ac:dyDescent="0.3">
      <c r="A1158" t="s">
        <v>2548</v>
      </c>
      <c r="B1158" t="s">
        <v>2659</v>
      </c>
    </row>
    <row r="1159" spans="1:2" x14ac:dyDescent="0.3">
      <c r="A1159" t="s">
        <v>2548</v>
      </c>
      <c r="B1159" t="s">
        <v>2660</v>
      </c>
    </row>
    <row r="1160" spans="1:2" x14ac:dyDescent="0.3">
      <c r="A1160" t="s">
        <v>2548</v>
      </c>
      <c r="B1160" t="s">
        <v>2661</v>
      </c>
    </row>
    <row r="1161" spans="1:2" x14ac:dyDescent="0.3">
      <c r="A1161" t="s">
        <v>2548</v>
      </c>
      <c r="B1161" t="s">
        <v>2662</v>
      </c>
    </row>
    <row r="1162" spans="1:2" x14ac:dyDescent="0.3">
      <c r="A1162" t="s">
        <v>2548</v>
      </c>
      <c r="B1162" t="s">
        <v>2663</v>
      </c>
    </row>
    <row r="1163" spans="1:2" x14ac:dyDescent="0.3">
      <c r="A1163" t="s">
        <v>2548</v>
      </c>
      <c r="B1163" t="s">
        <v>2664</v>
      </c>
    </row>
    <row r="1164" spans="1:2" x14ac:dyDescent="0.3">
      <c r="A1164" t="s">
        <v>2548</v>
      </c>
      <c r="B1164" t="s">
        <v>2665</v>
      </c>
    </row>
    <row r="1165" spans="1:2" x14ac:dyDescent="0.3">
      <c r="A1165" t="s">
        <v>2548</v>
      </c>
      <c r="B1165" t="s">
        <v>2666</v>
      </c>
    </row>
    <row r="1166" spans="1:2" x14ac:dyDescent="0.3">
      <c r="A1166" t="s">
        <v>2548</v>
      </c>
      <c r="B1166" t="s">
        <v>2667</v>
      </c>
    </row>
    <row r="1167" spans="1:2" x14ac:dyDescent="0.3">
      <c r="A1167" t="s">
        <v>2548</v>
      </c>
      <c r="B1167" t="s">
        <v>2306</v>
      </c>
    </row>
    <row r="1168" spans="1:2" x14ac:dyDescent="0.3">
      <c r="A1168" t="s">
        <v>2548</v>
      </c>
      <c r="B1168" t="s">
        <v>2668</v>
      </c>
    </row>
    <row r="1169" spans="1:2" x14ac:dyDescent="0.3">
      <c r="A1169" t="s">
        <v>2548</v>
      </c>
      <c r="B1169" t="s">
        <v>2669</v>
      </c>
    </row>
    <row r="1170" spans="1:2" x14ac:dyDescent="0.3">
      <c r="A1170" t="s">
        <v>2548</v>
      </c>
      <c r="B1170" t="s">
        <v>2670</v>
      </c>
    </row>
    <row r="1171" spans="1:2" x14ac:dyDescent="0.3">
      <c r="A1171" t="s">
        <v>2548</v>
      </c>
      <c r="B1171" t="s">
        <v>2671</v>
      </c>
    </row>
    <row r="1172" spans="1:2" x14ac:dyDescent="0.3">
      <c r="A1172" t="s">
        <v>2548</v>
      </c>
      <c r="B1172" t="s">
        <v>2672</v>
      </c>
    </row>
    <row r="1173" spans="1:2" x14ac:dyDescent="0.3">
      <c r="A1173" t="s">
        <v>2548</v>
      </c>
      <c r="B1173" t="s">
        <v>2673</v>
      </c>
    </row>
    <row r="1174" spans="1:2" x14ac:dyDescent="0.3">
      <c r="A1174" t="s">
        <v>2548</v>
      </c>
      <c r="B1174" t="s">
        <v>2674</v>
      </c>
    </row>
    <row r="1175" spans="1:2" x14ac:dyDescent="0.3">
      <c r="A1175" t="s">
        <v>2548</v>
      </c>
      <c r="B1175" t="s">
        <v>2675</v>
      </c>
    </row>
    <row r="1176" spans="1:2" x14ac:dyDescent="0.3">
      <c r="A1176" t="s">
        <v>2548</v>
      </c>
      <c r="B1176" t="s">
        <v>2676</v>
      </c>
    </row>
    <row r="1177" spans="1:2" x14ac:dyDescent="0.3">
      <c r="A1177" t="s">
        <v>2548</v>
      </c>
      <c r="B1177" t="s">
        <v>2677</v>
      </c>
    </row>
    <row r="1178" spans="1:2" x14ac:dyDescent="0.3">
      <c r="A1178" t="s">
        <v>2548</v>
      </c>
      <c r="B1178" t="s">
        <v>2678</v>
      </c>
    </row>
    <row r="1179" spans="1:2" x14ac:dyDescent="0.3">
      <c r="A1179" t="s">
        <v>2548</v>
      </c>
      <c r="B1179" t="s">
        <v>2679</v>
      </c>
    </row>
    <row r="1180" spans="1:2" x14ac:dyDescent="0.3">
      <c r="A1180" t="s">
        <v>2548</v>
      </c>
      <c r="B1180" t="s">
        <v>1795</v>
      </c>
    </row>
    <row r="1181" spans="1:2" x14ac:dyDescent="0.3">
      <c r="A1181" t="s">
        <v>2548</v>
      </c>
      <c r="B1181" t="s">
        <v>2680</v>
      </c>
    </row>
    <row r="1182" spans="1:2" x14ac:dyDescent="0.3">
      <c r="A1182" t="s">
        <v>2548</v>
      </c>
      <c r="B1182" t="s">
        <v>2681</v>
      </c>
    </row>
    <row r="1183" spans="1:2" x14ac:dyDescent="0.3">
      <c r="A1183" t="s">
        <v>2548</v>
      </c>
      <c r="B1183" t="s">
        <v>2682</v>
      </c>
    </row>
    <row r="1184" spans="1:2" x14ac:dyDescent="0.3">
      <c r="A1184" t="s">
        <v>2548</v>
      </c>
      <c r="B1184" t="s">
        <v>2683</v>
      </c>
    </row>
    <row r="1185" spans="1:2" x14ac:dyDescent="0.3">
      <c r="A1185" t="s">
        <v>2548</v>
      </c>
      <c r="B1185" t="s">
        <v>2684</v>
      </c>
    </row>
    <row r="1186" spans="1:2" x14ac:dyDescent="0.3">
      <c r="A1186" t="s">
        <v>2548</v>
      </c>
      <c r="B1186" t="s">
        <v>2685</v>
      </c>
    </row>
    <row r="1187" spans="1:2" x14ac:dyDescent="0.3">
      <c r="A1187" t="s">
        <v>2548</v>
      </c>
      <c r="B1187" t="s">
        <v>2686</v>
      </c>
    </row>
    <row r="1188" spans="1:2" x14ac:dyDescent="0.3">
      <c r="A1188" t="s">
        <v>2548</v>
      </c>
      <c r="B1188" t="s">
        <v>2687</v>
      </c>
    </row>
    <row r="1189" spans="1:2" x14ac:dyDescent="0.3">
      <c r="A1189" t="s">
        <v>2548</v>
      </c>
      <c r="B1189" t="s">
        <v>2688</v>
      </c>
    </row>
    <row r="1190" spans="1:2" x14ac:dyDescent="0.3">
      <c r="A1190" t="s">
        <v>2548</v>
      </c>
      <c r="B1190" t="s">
        <v>2689</v>
      </c>
    </row>
    <row r="1191" spans="1:2" x14ac:dyDescent="0.3">
      <c r="A1191" t="s">
        <v>2548</v>
      </c>
      <c r="B1191" t="s">
        <v>2690</v>
      </c>
    </row>
    <row r="1192" spans="1:2" x14ac:dyDescent="0.3">
      <c r="A1192" t="s">
        <v>2548</v>
      </c>
      <c r="B1192" t="s">
        <v>2691</v>
      </c>
    </row>
    <row r="1193" spans="1:2" x14ac:dyDescent="0.3">
      <c r="A1193" t="s">
        <v>2548</v>
      </c>
      <c r="B1193" t="s">
        <v>2692</v>
      </c>
    </row>
    <row r="1194" spans="1:2" x14ac:dyDescent="0.3">
      <c r="A1194" t="s">
        <v>2548</v>
      </c>
      <c r="B1194" t="s">
        <v>2693</v>
      </c>
    </row>
    <row r="1195" spans="1:2" x14ac:dyDescent="0.3">
      <c r="A1195" t="s">
        <v>2548</v>
      </c>
      <c r="B1195" t="s">
        <v>2694</v>
      </c>
    </row>
    <row r="1196" spans="1:2" x14ac:dyDescent="0.3">
      <c r="A1196" t="s">
        <v>2548</v>
      </c>
      <c r="B1196" t="s">
        <v>2695</v>
      </c>
    </row>
    <row r="1197" spans="1:2" x14ac:dyDescent="0.3">
      <c r="A1197" t="s">
        <v>2548</v>
      </c>
      <c r="B1197" t="s">
        <v>2696</v>
      </c>
    </row>
    <row r="1198" spans="1:2" x14ac:dyDescent="0.3">
      <c r="A1198" t="s">
        <v>2548</v>
      </c>
      <c r="B1198" t="s">
        <v>2697</v>
      </c>
    </row>
    <row r="1199" spans="1:2" x14ac:dyDescent="0.3">
      <c r="A1199" t="s">
        <v>2548</v>
      </c>
      <c r="B1199" t="s">
        <v>2698</v>
      </c>
    </row>
    <row r="1200" spans="1:2" x14ac:dyDescent="0.3">
      <c r="A1200" t="s">
        <v>2548</v>
      </c>
      <c r="B1200" t="s">
        <v>2699</v>
      </c>
    </row>
    <row r="1201" spans="1:2" x14ac:dyDescent="0.3">
      <c r="A1201" t="s">
        <v>2548</v>
      </c>
      <c r="B1201" t="s">
        <v>2700</v>
      </c>
    </row>
    <row r="1202" spans="1:2" x14ac:dyDescent="0.3">
      <c r="A1202" t="s">
        <v>2548</v>
      </c>
      <c r="B1202" t="s">
        <v>2701</v>
      </c>
    </row>
    <row r="1203" spans="1:2" x14ac:dyDescent="0.3">
      <c r="A1203" t="s">
        <v>2548</v>
      </c>
      <c r="B1203" t="s">
        <v>2702</v>
      </c>
    </row>
    <row r="1204" spans="1:2" x14ac:dyDescent="0.3">
      <c r="A1204" t="s">
        <v>2548</v>
      </c>
      <c r="B1204" t="s">
        <v>2703</v>
      </c>
    </row>
    <row r="1205" spans="1:2" x14ac:dyDescent="0.3">
      <c r="A1205" t="s">
        <v>2548</v>
      </c>
      <c r="B1205" t="s">
        <v>2704</v>
      </c>
    </row>
    <row r="1206" spans="1:2" x14ac:dyDescent="0.3">
      <c r="A1206" t="s">
        <v>2548</v>
      </c>
      <c r="B1206" t="s">
        <v>2705</v>
      </c>
    </row>
    <row r="1207" spans="1:2" x14ac:dyDescent="0.3">
      <c r="A1207" t="s">
        <v>2548</v>
      </c>
      <c r="B1207" t="s">
        <v>2706</v>
      </c>
    </row>
    <row r="1208" spans="1:2" x14ac:dyDescent="0.3">
      <c r="A1208" t="s">
        <v>2548</v>
      </c>
      <c r="B1208" t="s">
        <v>2707</v>
      </c>
    </row>
    <row r="1209" spans="1:2" x14ac:dyDescent="0.3">
      <c r="A1209" t="s">
        <v>2548</v>
      </c>
      <c r="B1209" t="s">
        <v>2708</v>
      </c>
    </row>
    <row r="1210" spans="1:2" x14ac:dyDescent="0.3">
      <c r="A1210" t="s">
        <v>2548</v>
      </c>
      <c r="B1210" t="s">
        <v>2709</v>
      </c>
    </row>
    <row r="1211" spans="1:2" x14ac:dyDescent="0.3">
      <c r="A1211" t="s">
        <v>2548</v>
      </c>
      <c r="B1211" t="s">
        <v>1864</v>
      </c>
    </row>
    <row r="1212" spans="1:2" x14ac:dyDescent="0.3">
      <c r="A1212" t="s">
        <v>2548</v>
      </c>
      <c r="B1212" t="s">
        <v>2710</v>
      </c>
    </row>
    <row r="1213" spans="1:2" x14ac:dyDescent="0.3">
      <c r="A1213" t="s">
        <v>2548</v>
      </c>
      <c r="B1213" t="s">
        <v>2711</v>
      </c>
    </row>
    <row r="1214" spans="1:2" x14ac:dyDescent="0.3">
      <c r="A1214" t="s">
        <v>2548</v>
      </c>
      <c r="B1214" t="s">
        <v>2712</v>
      </c>
    </row>
    <row r="1215" spans="1:2" x14ac:dyDescent="0.3">
      <c r="A1215" t="s">
        <v>2548</v>
      </c>
      <c r="B1215" t="s">
        <v>2713</v>
      </c>
    </row>
    <row r="1216" spans="1:2" x14ac:dyDescent="0.3">
      <c r="A1216" t="s">
        <v>2548</v>
      </c>
      <c r="B1216" t="s">
        <v>2714</v>
      </c>
    </row>
    <row r="1217" spans="1:2" x14ac:dyDescent="0.3">
      <c r="A1217" t="s">
        <v>2548</v>
      </c>
      <c r="B1217" t="s">
        <v>2715</v>
      </c>
    </row>
    <row r="1218" spans="1:2" x14ac:dyDescent="0.3">
      <c r="A1218" t="s">
        <v>2548</v>
      </c>
      <c r="B1218" t="s">
        <v>2716</v>
      </c>
    </row>
    <row r="1219" spans="1:2" x14ac:dyDescent="0.3">
      <c r="A1219" t="s">
        <v>2548</v>
      </c>
      <c r="B1219" t="s">
        <v>1889</v>
      </c>
    </row>
    <row r="1220" spans="1:2" x14ac:dyDescent="0.3">
      <c r="A1220" t="s">
        <v>2548</v>
      </c>
      <c r="B1220" t="s">
        <v>2717</v>
      </c>
    </row>
    <row r="1221" spans="1:2" x14ac:dyDescent="0.3">
      <c r="A1221" t="s">
        <v>2548</v>
      </c>
      <c r="B1221" t="s">
        <v>2718</v>
      </c>
    </row>
    <row r="1222" spans="1:2" x14ac:dyDescent="0.3">
      <c r="A1222" t="s">
        <v>2548</v>
      </c>
      <c r="B1222" t="s">
        <v>2719</v>
      </c>
    </row>
    <row r="1223" spans="1:2" x14ac:dyDescent="0.3">
      <c r="A1223" t="s">
        <v>2548</v>
      </c>
      <c r="B1223" t="s">
        <v>1903</v>
      </c>
    </row>
    <row r="1224" spans="1:2" x14ac:dyDescent="0.3">
      <c r="A1224" t="s">
        <v>2548</v>
      </c>
      <c r="B1224" t="s">
        <v>2720</v>
      </c>
    </row>
    <row r="1225" spans="1:2" x14ac:dyDescent="0.3">
      <c r="A1225" t="s">
        <v>2548</v>
      </c>
      <c r="B1225" t="s">
        <v>2721</v>
      </c>
    </row>
    <row r="1226" spans="1:2" x14ac:dyDescent="0.3">
      <c r="A1226" t="s">
        <v>2548</v>
      </c>
      <c r="B1226" t="s">
        <v>2722</v>
      </c>
    </row>
    <row r="1227" spans="1:2" x14ac:dyDescent="0.3">
      <c r="A1227" t="s">
        <v>2548</v>
      </c>
      <c r="B1227" t="s">
        <v>2723</v>
      </c>
    </row>
    <row r="1228" spans="1:2" x14ac:dyDescent="0.3">
      <c r="A1228" t="s">
        <v>2548</v>
      </c>
      <c r="B1228" t="s">
        <v>2401</v>
      </c>
    </row>
    <row r="1229" spans="1:2" x14ac:dyDescent="0.3">
      <c r="A1229" t="s">
        <v>2548</v>
      </c>
      <c r="B1229" t="s">
        <v>2724</v>
      </c>
    </row>
    <row r="1230" spans="1:2" x14ac:dyDescent="0.3">
      <c r="A1230" t="s">
        <v>2548</v>
      </c>
      <c r="B1230" t="s">
        <v>2725</v>
      </c>
    </row>
    <row r="1231" spans="1:2" x14ac:dyDescent="0.3">
      <c r="A1231" t="s">
        <v>2548</v>
      </c>
      <c r="B1231" t="s">
        <v>1912</v>
      </c>
    </row>
    <row r="1232" spans="1:2" x14ac:dyDescent="0.3">
      <c r="A1232" t="s">
        <v>2548</v>
      </c>
      <c r="B1232" t="s">
        <v>2726</v>
      </c>
    </row>
    <row r="1233" spans="1:2" x14ac:dyDescent="0.3">
      <c r="A1233" t="s">
        <v>2548</v>
      </c>
      <c r="B1233" t="s">
        <v>2727</v>
      </c>
    </row>
    <row r="1234" spans="1:2" x14ac:dyDescent="0.3">
      <c r="A1234" t="s">
        <v>2548</v>
      </c>
      <c r="B1234" t="s">
        <v>2728</v>
      </c>
    </row>
    <row r="1235" spans="1:2" x14ac:dyDescent="0.3">
      <c r="A1235" t="s">
        <v>2548</v>
      </c>
      <c r="B1235" t="s">
        <v>2729</v>
      </c>
    </row>
    <row r="1236" spans="1:2" x14ac:dyDescent="0.3">
      <c r="A1236" t="s">
        <v>2548</v>
      </c>
      <c r="B1236" t="s">
        <v>2730</v>
      </c>
    </row>
    <row r="1237" spans="1:2" x14ac:dyDescent="0.3">
      <c r="A1237" t="s">
        <v>2548</v>
      </c>
      <c r="B1237" t="s">
        <v>2731</v>
      </c>
    </row>
    <row r="1238" spans="1:2" x14ac:dyDescent="0.3">
      <c r="A1238" t="s">
        <v>2548</v>
      </c>
      <c r="B1238" t="s">
        <v>2732</v>
      </c>
    </row>
    <row r="1239" spans="1:2" x14ac:dyDescent="0.3">
      <c r="A1239" t="s">
        <v>2548</v>
      </c>
      <c r="B1239" t="s">
        <v>2733</v>
      </c>
    </row>
    <row r="1240" spans="1:2" x14ac:dyDescent="0.3">
      <c r="A1240" t="s">
        <v>2548</v>
      </c>
      <c r="B1240" t="s">
        <v>2734</v>
      </c>
    </row>
    <row r="1241" spans="1:2" x14ac:dyDescent="0.3">
      <c r="A1241" t="s">
        <v>2548</v>
      </c>
      <c r="B1241" t="s">
        <v>1940</v>
      </c>
    </row>
    <row r="1242" spans="1:2" x14ac:dyDescent="0.3">
      <c r="A1242" t="s">
        <v>2548</v>
      </c>
      <c r="B1242" t="s">
        <v>2735</v>
      </c>
    </row>
    <row r="1243" spans="1:2" x14ac:dyDescent="0.3">
      <c r="A1243" t="s">
        <v>2548</v>
      </c>
      <c r="B1243" t="s">
        <v>2736</v>
      </c>
    </row>
    <row r="1244" spans="1:2" x14ac:dyDescent="0.3">
      <c r="A1244" t="s">
        <v>2548</v>
      </c>
      <c r="B1244" t="s">
        <v>2737</v>
      </c>
    </row>
    <row r="1245" spans="1:2" x14ac:dyDescent="0.3">
      <c r="A1245" t="s">
        <v>2548</v>
      </c>
      <c r="B1245" t="s">
        <v>2738</v>
      </c>
    </row>
    <row r="1246" spans="1:2" x14ac:dyDescent="0.3">
      <c r="A1246" t="s">
        <v>2548</v>
      </c>
      <c r="B1246" t="s">
        <v>2739</v>
      </c>
    </row>
    <row r="1247" spans="1:2" x14ac:dyDescent="0.3">
      <c r="A1247" t="s">
        <v>2548</v>
      </c>
      <c r="B1247" t="s">
        <v>2740</v>
      </c>
    </row>
    <row r="1248" spans="1:2" x14ac:dyDescent="0.3">
      <c r="A1248" t="s">
        <v>2548</v>
      </c>
      <c r="B1248" t="s">
        <v>2741</v>
      </c>
    </row>
    <row r="1249" spans="1:2" x14ac:dyDescent="0.3">
      <c r="A1249" t="s">
        <v>2548</v>
      </c>
      <c r="B1249" t="s">
        <v>2742</v>
      </c>
    </row>
    <row r="1250" spans="1:2" x14ac:dyDescent="0.3">
      <c r="A1250" t="s">
        <v>2548</v>
      </c>
      <c r="B1250" t="s">
        <v>2743</v>
      </c>
    </row>
    <row r="1251" spans="1:2" x14ac:dyDescent="0.3">
      <c r="A1251" t="s">
        <v>2548</v>
      </c>
      <c r="B1251" t="s">
        <v>2744</v>
      </c>
    </row>
    <row r="1252" spans="1:2" x14ac:dyDescent="0.3">
      <c r="A1252" t="s">
        <v>2548</v>
      </c>
      <c r="B1252" t="s">
        <v>1970</v>
      </c>
    </row>
    <row r="1253" spans="1:2" x14ac:dyDescent="0.3">
      <c r="A1253" t="s">
        <v>2548</v>
      </c>
      <c r="B1253" t="s">
        <v>2434</v>
      </c>
    </row>
    <row r="1254" spans="1:2" x14ac:dyDescent="0.3">
      <c r="A1254" t="s">
        <v>2548</v>
      </c>
      <c r="B1254" t="s">
        <v>2745</v>
      </c>
    </row>
    <row r="1255" spans="1:2" x14ac:dyDescent="0.3">
      <c r="A1255" t="s">
        <v>2548</v>
      </c>
      <c r="B1255" t="s">
        <v>2746</v>
      </c>
    </row>
    <row r="1256" spans="1:2" x14ac:dyDescent="0.3">
      <c r="A1256" t="s">
        <v>2548</v>
      </c>
      <c r="B1256" t="s">
        <v>2747</v>
      </c>
    </row>
    <row r="1257" spans="1:2" x14ac:dyDescent="0.3">
      <c r="A1257" t="s">
        <v>2548</v>
      </c>
      <c r="B1257" t="s">
        <v>2748</v>
      </c>
    </row>
    <row r="1258" spans="1:2" x14ac:dyDescent="0.3">
      <c r="A1258" t="s">
        <v>2548</v>
      </c>
      <c r="B1258" t="s">
        <v>2749</v>
      </c>
    </row>
    <row r="1259" spans="1:2" x14ac:dyDescent="0.3">
      <c r="A1259" t="s">
        <v>2548</v>
      </c>
      <c r="B1259" t="s">
        <v>2750</v>
      </c>
    </row>
    <row r="1260" spans="1:2" x14ac:dyDescent="0.3">
      <c r="A1260" t="s">
        <v>2548</v>
      </c>
      <c r="B1260" t="s">
        <v>2751</v>
      </c>
    </row>
    <row r="1261" spans="1:2" x14ac:dyDescent="0.3">
      <c r="A1261" t="s">
        <v>2548</v>
      </c>
      <c r="B1261" t="s">
        <v>2752</v>
      </c>
    </row>
    <row r="1262" spans="1:2" x14ac:dyDescent="0.3">
      <c r="A1262" t="s">
        <v>2548</v>
      </c>
      <c r="B1262" t="s">
        <v>2753</v>
      </c>
    </row>
    <row r="1263" spans="1:2" x14ac:dyDescent="0.3">
      <c r="A1263" t="s">
        <v>2548</v>
      </c>
      <c r="B1263" t="s">
        <v>2754</v>
      </c>
    </row>
    <row r="1264" spans="1:2" x14ac:dyDescent="0.3">
      <c r="A1264" t="s">
        <v>2548</v>
      </c>
      <c r="B1264" t="s">
        <v>2755</v>
      </c>
    </row>
    <row r="1265" spans="1:2" x14ac:dyDescent="0.3">
      <c r="A1265" t="s">
        <v>2548</v>
      </c>
      <c r="B1265" t="s">
        <v>2756</v>
      </c>
    </row>
    <row r="1266" spans="1:2" x14ac:dyDescent="0.3">
      <c r="A1266" t="s">
        <v>2548</v>
      </c>
      <c r="B1266" t="s">
        <v>2757</v>
      </c>
    </row>
    <row r="1267" spans="1:2" x14ac:dyDescent="0.3">
      <c r="A1267" t="s">
        <v>2548</v>
      </c>
      <c r="B1267" t="s">
        <v>2758</v>
      </c>
    </row>
    <row r="1268" spans="1:2" x14ac:dyDescent="0.3">
      <c r="A1268" t="s">
        <v>2548</v>
      </c>
      <c r="B1268" t="s">
        <v>2759</v>
      </c>
    </row>
    <row r="1269" spans="1:2" x14ac:dyDescent="0.3">
      <c r="A1269" t="s">
        <v>2548</v>
      </c>
      <c r="B1269" t="s">
        <v>2760</v>
      </c>
    </row>
    <row r="1270" spans="1:2" x14ac:dyDescent="0.3">
      <c r="A1270" t="s">
        <v>2548</v>
      </c>
      <c r="B1270" t="s">
        <v>2761</v>
      </c>
    </row>
    <row r="1271" spans="1:2" x14ac:dyDescent="0.3">
      <c r="A1271" t="s">
        <v>2548</v>
      </c>
      <c r="B1271" t="s">
        <v>2017</v>
      </c>
    </row>
    <row r="1272" spans="1:2" x14ac:dyDescent="0.3">
      <c r="A1272" t="s">
        <v>2548</v>
      </c>
      <c r="B1272" t="s">
        <v>2762</v>
      </c>
    </row>
    <row r="1273" spans="1:2" x14ac:dyDescent="0.3">
      <c r="A1273" t="s">
        <v>2548</v>
      </c>
      <c r="B1273" t="s">
        <v>2763</v>
      </c>
    </row>
    <row r="1274" spans="1:2" x14ac:dyDescent="0.3">
      <c r="A1274" t="s">
        <v>2548</v>
      </c>
      <c r="B1274" t="s">
        <v>2764</v>
      </c>
    </row>
    <row r="1275" spans="1:2" x14ac:dyDescent="0.3">
      <c r="A1275" t="s">
        <v>2548</v>
      </c>
      <c r="B1275" t="s">
        <v>2473</v>
      </c>
    </row>
    <row r="1276" spans="1:2" x14ac:dyDescent="0.3">
      <c r="A1276" t="s">
        <v>2548</v>
      </c>
      <c r="B1276" t="s">
        <v>2765</v>
      </c>
    </row>
    <row r="1277" spans="1:2" x14ac:dyDescent="0.3">
      <c r="A1277" t="s">
        <v>2548</v>
      </c>
      <c r="B1277" t="s">
        <v>2766</v>
      </c>
    </row>
    <row r="1278" spans="1:2" x14ac:dyDescent="0.3">
      <c r="A1278" t="s">
        <v>2548</v>
      </c>
      <c r="B1278" t="s">
        <v>2767</v>
      </c>
    </row>
    <row r="1279" spans="1:2" x14ac:dyDescent="0.3">
      <c r="A1279" t="s">
        <v>2548</v>
      </c>
      <c r="B1279" t="s">
        <v>2768</v>
      </c>
    </row>
    <row r="1280" spans="1:2" x14ac:dyDescent="0.3">
      <c r="A1280" t="s">
        <v>2548</v>
      </c>
      <c r="B1280" t="s">
        <v>2769</v>
      </c>
    </row>
    <row r="1281" spans="1:2" x14ac:dyDescent="0.3">
      <c r="A1281" t="s">
        <v>2548</v>
      </c>
      <c r="B1281" t="s">
        <v>2770</v>
      </c>
    </row>
    <row r="1282" spans="1:2" x14ac:dyDescent="0.3">
      <c r="A1282" t="s">
        <v>2548</v>
      </c>
      <c r="B1282" t="s">
        <v>2771</v>
      </c>
    </row>
    <row r="1283" spans="1:2" x14ac:dyDescent="0.3">
      <c r="A1283" t="s">
        <v>2548</v>
      </c>
      <c r="B1283" t="s">
        <v>2772</v>
      </c>
    </row>
    <row r="1284" spans="1:2" x14ac:dyDescent="0.3">
      <c r="A1284" t="s">
        <v>2548</v>
      </c>
      <c r="B1284" t="s">
        <v>2773</v>
      </c>
    </row>
    <row r="1285" spans="1:2" x14ac:dyDescent="0.3">
      <c r="A1285" t="s">
        <v>2548</v>
      </c>
      <c r="B1285" t="s">
        <v>2057</v>
      </c>
    </row>
    <row r="1286" spans="1:2" x14ac:dyDescent="0.3">
      <c r="A1286" t="s">
        <v>2548</v>
      </c>
      <c r="B1286" t="s">
        <v>2774</v>
      </c>
    </row>
    <row r="1287" spans="1:2" x14ac:dyDescent="0.3">
      <c r="A1287" t="s">
        <v>2548</v>
      </c>
      <c r="B1287" t="s">
        <v>2775</v>
      </c>
    </row>
    <row r="1288" spans="1:2" x14ac:dyDescent="0.3">
      <c r="A1288" t="s">
        <v>2548</v>
      </c>
      <c r="B1288" t="s">
        <v>2776</v>
      </c>
    </row>
    <row r="1289" spans="1:2" x14ac:dyDescent="0.3">
      <c r="A1289" t="s">
        <v>2548</v>
      </c>
      <c r="B1289" t="s">
        <v>2777</v>
      </c>
    </row>
    <row r="1290" spans="1:2" x14ac:dyDescent="0.3">
      <c r="A1290" t="s">
        <v>2548</v>
      </c>
      <c r="B1290" t="s">
        <v>2778</v>
      </c>
    </row>
    <row r="1291" spans="1:2" x14ac:dyDescent="0.3">
      <c r="A1291" t="s">
        <v>2548</v>
      </c>
      <c r="B1291" t="s">
        <v>2779</v>
      </c>
    </row>
    <row r="1292" spans="1:2" x14ac:dyDescent="0.3">
      <c r="A1292" t="s">
        <v>2548</v>
      </c>
      <c r="B1292" t="s">
        <v>2780</v>
      </c>
    </row>
    <row r="1293" spans="1:2" x14ac:dyDescent="0.3">
      <c r="A1293" t="s">
        <v>2548</v>
      </c>
      <c r="B1293" t="s">
        <v>2781</v>
      </c>
    </row>
    <row r="1294" spans="1:2" x14ac:dyDescent="0.3">
      <c r="A1294" t="s">
        <v>2548</v>
      </c>
      <c r="B1294" t="s">
        <v>2782</v>
      </c>
    </row>
    <row r="1295" spans="1:2" x14ac:dyDescent="0.3">
      <c r="A1295" t="s">
        <v>2548</v>
      </c>
      <c r="B1295" t="s">
        <v>2783</v>
      </c>
    </row>
    <row r="1296" spans="1:2" x14ac:dyDescent="0.3">
      <c r="A1296" t="s">
        <v>2548</v>
      </c>
      <c r="B1296" t="s">
        <v>2784</v>
      </c>
    </row>
    <row r="1297" spans="1:2" x14ac:dyDescent="0.3">
      <c r="A1297" t="s">
        <v>2548</v>
      </c>
      <c r="B1297" t="s">
        <v>2785</v>
      </c>
    </row>
    <row r="1298" spans="1:2" x14ac:dyDescent="0.3">
      <c r="A1298" t="s">
        <v>2548</v>
      </c>
      <c r="B1298" t="s">
        <v>2786</v>
      </c>
    </row>
    <row r="1299" spans="1:2" x14ac:dyDescent="0.3">
      <c r="A1299" t="s">
        <v>2548</v>
      </c>
      <c r="B1299" t="s">
        <v>2787</v>
      </c>
    </row>
    <row r="1300" spans="1:2" x14ac:dyDescent="0.3">
      <c r="A1300" t="s">
        <v>2548</v>
      </c>
      <c r="B1300" t="s">
        <v>2788</v>
      </c>
    </row>
    <row r="1301" spans="1:2" x14ac:dyDescent="0.3">
      <c r="A1301" t="s">
        <v>2548</v>
      </c>
      <c r="B1301" t="s">
        <v>2789</v>
      </c>
    </row>
    <row r="1302" spans="1:2" x14ac:dyDescent="0.3">
      <c r="A1302" t="s">
        <v>2548</v>
      </c>
      <c r="B1302" t="s">
        <v>2790</v>
      </c>
    </row>
    <row r="1303" spans="1:2" x14ac:dyDescent="0.3">
      <c r="A1303" t="s">
        <v>2548</v>
      </c>
      <c r="B1303" t="s">
        <v>2791</v>
      </c>
    </row>
    <row r="1304" spans="1:2" x14ac:dyDescent="0.3">
      <c r="A1304" t="s">
        <v>2548</v>
      </c>
      <c r="B1304" t="s">
        <v>2792</v>
      </c>
    </row>
    <row r="1305" spans="1:2" x14ac:dyDescent="0.3">
      <c r="A1305" t="s">
        <v>2548</v>
      </c>
      <c r="B1305" t="s">
        <v>2793</v>
      </c>
    </row>
    <row r="1306" spans="1:2" x14ac:dyDescent="0.3">
      <c r="A1306" t="s">
        <v>2548</v>
      </c>
      <c r="B1306" t="s">
        <v>2794</v>
      </c>
    </row>
    <row r="1307" spans="1:2" x14ac:dyDescent="0.3">
      <c r="A1307" t="s">
        <v>2548</v>
      </c>
      <c r="B1307" t="s">
        <v>2795</v>
      </c>
    </row>
    <row r="1308" spans="1:2" x14ac:dyDescent="0.3">
      <c r="A1308" t="s">
        <v>2548</v>
      </c>
      <c r="B1308" t="s">
        <v>2796</v>
      </c>
    </row>
    <row r="1309" spans="1:2" x14ac:dyDescent="0.3">
      <c r="A1309" t="s">
        <v>2548</v>
      </c>
      <c r="B1309" t="s">
        <v>2797</v>
      </c>
    </row>
    <row r="1310" spans="1:2" x14ac:dyDescent="0.3">
      <c r="A1310" t="s">
        <v>2548</v>
      </c>
      <c r="B1310" t="s">
        <v>2798</v>
      </c>
    </row>
    <row r="1311" spans="1:2" x14ac:dyDescent="0.3">
      <c r="A1311" t="s">
        <v>2548</v>
      </c>
      <c r="B1311" t="s">
        <v>2799</v>
      </c>
    </row>
    <row r="1312" spans="1:2" x14ac:dyDescent="0.3">
      <c r="A1312" t="s">
        <v>2548</v>
      </c>
      <c r="B1312" t="s">
        <v>2800</v>
      </c>
    </row>
    <row r="1313" spans="1:2" x14ac:dyDescent="0.3">
      <c r="A1313" t="s">
        <v>2548</v>
      </c>
      <c r="B1313" t="s">
        <v>2801</v>
      </c>
    </row>
    <row r="1314" spans="1:2" x14ac:dyDescent="0.3">
      <c r="A1314" t="s">
        <v>2548</v>
      </c>
      <c r="B1314" t="s">
        <v>2802</v>
      </c>
    </row>
    <row r="1315" spans="1:2" x14ac:dyDescent="0.3">
      <c r="A1315" t="s">
        <v>2548</v>
      </c>
      <c r="B1315" t="s">
        <v>2803</v>
      </c>
    </row>
    <row r="1316" spans="1:2" x14ac:dyDescent="0.3">
      <c r="A1316" t="s">
        <v>2548</v>
      </c>
      <c r="B1316" t="s">
        <v>2804</v>
      </c>
    </row>
    <row r="1317" spans="1:2" x14ac:dyDescent="0.3">
      <c r="A1317" t="s">
        <v>2548</v>
      </c>
      <c r="B1317" t="s">
        <v>2805</v>
      </c>
    </row>
    <row r="1318" spans="1:2" x14ac:dyDescent="0.3">
      <c r="A1318" t="s">
        <v>2548</v>
      </c>
      <c r="B1318" t="s">
        <v>2806</v>
      </c>
    </row>
    <row r="1319" spans="1:2" x14ac:dyDescent="0.3">
      <c r="A1319" t="s">
        <v>2548</v>
      </c>
      <c r="B1319" t="s">
        <v>2807</v>
      </c>
    </row>
    <row r="1320" spans="1:2" x14ac:dyDescent="0.3">
      <c r="A1320" t="s">
        <v>2548</v>
      </c>
      <c r="B1320" t="s">
        <v>2808</v>
      </c>
    </row>
    <row r="1321" spans="1:2" x14ac:dyDescent="0.3">
      <c r="A1321" t="s">
        <v>2548</v>
      </c>
      <c r="B1321" t="s">
        <v>2809</v>
      </c>
    </row>
    <row r="1322" spans="1:2" x14ac:dyDescent="0.3">
      <c r="A1322" t="s">
        <v>2548</v>
      </c>
      <c r="B1322" t="s">
        <v>2810</v>
      </c>
    </row>
    <row r="1323" spans="1:2" x14ac:dyDescent="0.3">
      <c r="A1323" t="s">
        <v>2548</v>
      </c>
      <c r="B1323" t="s">
        <v>2811</v>
      </c>
    </row>
    <row r="1324" spans="1:2" x14ac:dyDescent="0.3">
      <c r="A1324" t="s">
        <v>2548</v>
      </c>
      <c r="B1324" t="s">
        <v>2533</v>
      </c>
    </row>
    <row r="1325" spans="1:2" x14ac:dyDescent="0.3">
      <c r="A1325" t="s">
        <v>2548</v>
      </c>
      <c r="B1325" t="s">
        <v>2812</v>
      </c>
    </row>
    <row r="1326" spans="1:2" x14ac:dyDescent="0.3">
      <c r="A1326" t="s">
        <v>2548</v>
      </c>
      <c r="B1326" t="s">
        <v>2813</v>
      </c>
    </row>
    <row r="1327" spans="1:2" x14ac:dyDescent="0.3">
      <c r="A1327" t="s">
        <v>2548</v>
      </c>
      <c r="B1327" t="s">
        <v>2814</v>
      </c>
    </row>
    <row r="1328" spans="1:2" x14ac:dyDescent="0.3">
      <c r="A1328" t="s">
        <v>2548</v>
      </c>
      <c r="B1328" t="s">
        <v>2815</v>
      </c>
    </row>
    <row r="1329" spans="1:2" x14ac:dyDescent="0.3">
      <c r="A1329" t="s">
        <v>2548</v>
      </c>
      <c r="B1329" t="s">
        <v>2816</v>
      </c>
    </row>
    <row r="1330" spans="1:2" x14ac:dyDescent="0.3">
      <c r="A1330" t="s">
        <v>2548</v>
      </c>
      <c r="B1330" t="s">
        <v>2142</v>
      </c>
    </row>
    <row r="1331" spans="1:2" x14ac:dyDescent="0.3">
      <c r="A1331" t="s">
        <v>2548</v>
      </c>
      <c r="B1331" t="s">
        <v>2817</v>
      </c>
    </row>
    <row r="1332" spans="1:2" x14ac:dyDescent="0.3">
      <c r="A1332" t="s">
        <v>2548</v>
      </c>
      <c r="B1332" t="s">
        <v>2818</v>
      </c>
    </row>
    <row r="1333" spans="1:2" x14ac:dyDescent="0.3">
      <c r="A1333" t="s">
        <v>2548</v>
      </c>
      <c r="B1333" t="s">
        <v>2819</v>
      </c>
    </row>
    <row r="1334" spans="1:2" x14ac:dyDescent="0.3">
      <c r="A1334" t="s">
        <v>2548</v>
      </c>
      <c r="B1334" t="s">
        <v>2820</v>
      </c>
    </row>
    <row r="1335" spans="1:2" x14ac:dyDescent="0.3">
      <c r="A1335" t="s">
        <v>2548</v>
      </c>
      <c r="B1335" t="s">
        <v>2821</v>
      </c>
    </row>
    <row r="1336" spans="1:2" x14ac:dyDescent="0.3">
      <c r="A1336" t="s">
        <v>2548</v>
      </c>
      <c r="B1336" t="s">
        <v>2822</v>
      </c>
    </row>
    <row r="1337" spans="1:2" x14ac:dyDescent="0.3">
      <c r="A1337" t="s">
        <v>2548</v>
      </c>
      <c r="B1337" t="s">
        <v>2823</v>
      </c>
    </row>
    <row r="1338" spans="1:2" x14ac:dyDescent="0.3">
      <c r="A1338" t="s">
        <v>2548</v>
      </c>
      <c r="B1338" t="s">
        <v>2824</v>
      </c>
    </row>
    <row r="1339" spans="1:2" x14ac:dyDescent="0.3">
      <c r="A1339" t="s">
        <v>2548</v>
      </c>
      <c r="B1339" t="s">
        <v>2825</v>
      </c>
    </row>
    <row r="1340" spans="1:2" x14ac:dyDescent="0.3">
      <c r="A1340" t="s">
        <v>2548</v>
      </c>
      <c r="B1340" t="s">
        <v>2826</v>
      </c>
    </row>
    <row r="1341" spans="1:2" x14ac:dyDescent="0.3">
      <c r="A1341" t="s">
        <v>2827</v>
      </c>
      <c r="B1341" t="s">
        <v>2828</v>
      </c>
    </row>
    <row r="1342" spans="1:2" x14ac:dyDescent="0.3">
      <c r="A1342" t="s">
        <v>2827</v>
      </c>
      <c r="B1342" t="s">
        <v>2829</v>
      </c>
    </row>
    <row r="1343" spans="1:2" x14ac:dyDescent="0.3">
      <c r="A1343" t="s">
        <v>2827</v>
      </c>
      <c r="B1343" t="s">
        <v>2830</v>
      </c>
    </row>
    <row r="1344" spans="1:2" x14ac:dyDescent="0.3">
      <c r="A1344" t="s">
        <v>2827</v>
      </c>
      <c r="B1344" t="s">
        <v>2831</v>
      </c>
    </row>
    <row r="1345" spans="1:2" x14ac:dyDescent="0.3">
      <c r="A1345" t="s">
        <v>2827</v>
      </c>
      <c r="B1345" t="s">
        <v>2832</v>
      </c>
    </row>
    <row r="1346" spans="1:2" x14ac:dyDescent="0.3">
      <c r="A1346" t="s">
        <v>2827</v>
      </c>
      <c r="B1346" t="s">
        <v>2833</v>
      </c>
    </row>
    <row r="1347" spans="1:2" x14ac:dyDescent="0.3">
      <c r="A1347" t="s">
        <v>2827</v>
      </c>
      <c r="B1347" t="s">
        <v>2834</v>
      </c>
    </row>
    <row r="1348" spans="1:2" x14ac:dyDescent="0.3">
      <c r="A1348" t="s">
        <v>2827</v>
      </c>
      <c r="B1348" t="s">
        <v>2835</v>
      </c>
    </row>
    <row r="1349" spans="1:2" x14ac:dyDescent="0.3">
      <c r="A1349" t="s">
        <v>2827</v>
      </c>
      <c r="B1349" t="s">
        <v>2836</v>
      </c>
    </row>
    <row r="1350" spans="1:2" x14ac:dyDescent="0.3">
      <c r="A1350" t="s">
        <v>2827</v>
      </c>
      <c r="B1350" t="s">
        <v>1523</v>
      </c>
    </row>
    <row r="1351" spans="1:2" x14ac:dyDescent="0.3">
      <c r="A1351" t="s">
        <v>2827</v>
      </c>
      <c r="B1351" t="s">
        <v>2837</v>
      </c>
    </row>
    <row r="1352" spans="1:2" x14ac:dyDescent="0.3">
      <c r="A1352" t="s">
        <v>2827</v>
      </c>
      <c r="B1352" t="s">
        <v>2838</v>
      </c>
    </row>
    <row r="1353" spans="1:2" x14ac:dyDescent="0.3">
      <c r="A1353" t="s">
        <v>2827</v>
      </c>
      <c r="B1353" t="s">
        <v>2839</v>
      </c>
    </row>
    <row r="1354" spans="1:2" x14ac:dyDescent="0.3">
      <c r="A1354" t="s">
        <v>2827</v>
      </c>
      <c r="B1354" t="s">
        <v>2840</v>
      </c>
    </row>
    <row r="1355" spans="1:2" x14ac:dyDescent="0.3">
      <c r="A1355" t="s">
        <v>2827</v>
      </c>
      <c r="B1355" t="s">
        <v>2841</v>
      </c>
    </row>
    <row r="1356" spans="1:2" x14ac:dyDescent="0.3">
      <c r="A1356" t="s">
        <v>2827</v>
      </c>
      <c r="B1356" t="s">
        <v>2842</v>
      </c>
    </row>
    <row r="1357" spans="1:2" x14ac:dyDescent="0.3">
      <c r="A1357" t="s">
        <v>2827</v>
      </c>
      <c r="B1357" t="s">
        <v>2843</v>
      </c>
    </row>
    <row r="1358" spans="1:2" x14ac:dyDescent="0.3">
      <c r="A1358" t="s">
        <v>2827</v>
      </c>
      <c r="B1358" t="s">
        <v>2844</v>
      </c>
    </row>
    <row r="1359" spans="1:2" x14ac:dyDescent="0.3">
      <c r="A1359" t="s">
        <v>2827</v>
      </c>
      <c r="B1359" t="s">
        <v>2845</v>
      </c>
    </row>
    <row r="1360" spans="1:2" x14ac:dyDescent="0.3">
      <c r="A1360" t="s">
        <v>2827</v>
      </c>
      <c r="B1360" t="s">
        <v>2846</v>
      </c>
    </row>
    <row r="1361" spans="1:2" x14ac:dyDescent="0.3">
      <c r="A1361" t="s">
        <v>2827</v>
      </c>
      <c r="B1361" t="s">
        <v>2847</v>
      </c>
    </row>
    <row r="1362" spans="1:2" x14ac:dyDescent="0.3">
      <c r="A1362" t="s">
        <v>2827</v>
      </c>
      <c r="B1362" t="s">
        <v>2848</v>
      </c>
    </row>
    <row r="1363" spans="1:2" x14ac:dyDescent="0.3">
      <c r="A1363" t="s">
        <v>2827</v>
      </c>
      <c r="B1363" t="s">
        <v>2849</v>
      </c>
    </row>
    <row r="1364" spans="1:2" x14ac:dyDescent="0.3">
      <c r="A1364" t="s">
        <v>2827</v>
      </c>
      <c r="B1364" t="s">
        <v>2850</v>
      </c>
    </row>
    <row r="1365" spans="1:2" x14ac:dyDescent="0.3">
      <c r="A1365" t="s">
        <v>2827</v>
      </c>
      <c r="B1365" t="s">
        <v>2851</v>
      </c>
    </row>
    <row r="1366" spans="1:2" x14ac:dyDescent="0.3">
      <c r="A1366" t="s">
        <v>2827</v>
      </c>
      <c r="B1366" t="s">
        <v>2852</v>
      </c>
    </row>
    <row r="1367" spans="1:2" x14ac:dyDescent="0.3">
      <c r="A1367" t="s">
        <v>2827</v>
      </c>
      <c r="B1367" t="s">
        <v>2853</v>
      </c>
    </row>
    <row r="1368" spans="1:2" x14ac:dyDescent="0.3">
      <c r="A1368" t="s">
        <v>2827</v>
      </c>
      <c r="B1368" t="s">
        <v>2854</v>
      </c>
    </row>
    <row r="1369" spans="1:2" x14ac:dyDescent="0.3">
      <c r="A1369" t="s">
        <v>2827</v>
      </c>
      <c r="B1369" t="s">
        <v>2855</v>
      </c>
    </row>
    <row r="1370" spans="1:2" x14ac:dyDescent="0.3">
      <c r="A1370" t="s">
        <v>2827</v>
      </c>
      <c r="B1370" t="s">
        <v>2856</v>
      </c>
    </row>
    <row r="1371" spans="1:2" x14ac:dyDescent="0.3">
      <c r="A1371" t="s">
        <v>2827</v>
      </c>
      <c r="B1371" t="s">
        <v>2857</v>
      </c>
    </row>
    <row r="1372" spans="1:2" x14ac:dyDescent="0.3">
      <c r="A1372" t="s">
        <v>2827</v>
      </c>
      <c r="B1372" t="s">
        <v>2858</v>
      </c>
    </row>
    <row r="1373" spans="1:2" x14ac:dyDescent="0.3">
      <c r="A1373" t="s">
        <v>2827</v>
      </c>
      <c r="B1373" t="s">
        <v>2859</v>
      </c>
    </row>
    <row r="1374" spans="1:2" x14ac:dyDescent="0.3">
      <c r="A1374" t="s">
        <v>2827</v>
      </c>
      <c r="B1374" t="s">
        <v>2860</v>
      </c>
    </row>
    <row r="1375" spans="1:2" x14ac:dyDescent="0.3">
      <c r="A1375" t="s">
        <v>2827</v>
      </c>
      <c r="B1375" t="s">
        <v>2187</v>
      </c>
    </row>
    <row r="1376" spans="1:2" x14ac:dyDescent="0.3">
      <c r="A1376" t="s">
        <v>2827</v>
      </c>
      <c r="B1376" t="s">
        <v>2861</v>
      </c>
    </row>
    <row r="1377" spans="1:2" x14ac:dyDescent="0.3">
      <c r="A1377" t="s">
        <v>2827</v>
      </c>
      <c r="B1377" t="s">
        <v>2862</v>
      </c>
    </row>
    <row r="1378" spans="1:2" x14ac:dyDescent="0.3">
      <c r="A1378" t="s">
        <v>2827</v>
      </c>
      <c r="B1378" t="s">
        <v>2863</v>
      </c>
    </row>
    <row r="1379" spans="1:2" x14ac:dyDescent="0.3">
      <c r="A1379" t="s">
        <v>2827</v>
      </c>
      <c r="B1379" t="s">
        <v>2864</v>
      </c>
    </row>
    <row r="1380" spans="1:2" x14ac:dyDescent="0.3">
      <c r="A1380" t="s">
        <v>2827</v>
      </c>
      <c r="B1380" t="s">
        <v>2865</v>
      </c>
    </row>
    <row r="1381" spans="1:2" x14ac:dyDescent="0.3">
      <c r="A1381" t="s">
        <v>2827</v>
      </c>
      <c r="B1381" t="s">
        <v>2866</v>
      </c>
    </row>
    <row r="1382" spans="1:2" x14ac:dyDescent="0.3">
      <c r="A1382" t="s">
        <v>2827</v>
      </c>
      <c r="B1382" t="s">
        <v>2867</v>
      </c>
    </row>
    <row r="1383" spans="1:2" x14ac:dyDescent="0.3">
      <c r="A1383" t="s">
        <v>2827</v>
      </c>
      <c r="B1383" t="s">
        <v>2868</v>
      </c>
    </row>
    <row r="1384" spans="1:2" x14ac:dyDescent="0.3">
      <c r="A1384" t="s">
        <v>2827</v>
      </c>
      <c r="B1384" t="s">
        <v>2869</v>
      </c>
    </row>
    <row r="1385" spans="1:2" x14ac:dyDescent="0.3">
      <c r="A1385" t="s">
        <v>2827</v>
      </c>
      <c r="B1385" t="s">
        <v>2870</v>
      </c>
    </row>
    <row r="1386" spans="1:2" x14ac:dyDescent="0.3">
      <c r="A1386" t="s">
        <v>2827</v>
      </c>
      <c r="B1386" t="s">
        <v>2871</v>
      </c>
    </row>
    <row r="1387" spans="1:2" x14ac:dyDescent="0.3">
      <c r="A1387" t="s">
        <v>2827</v>
      </c>
      <c r="B1387" t="s">
        <v>2872</v>
      </c>
    </row>
    <row r="1388" spans="1:2" x14ac:dyDescent="0.3">
      <c r="A1388" t="s">
        <v>2827</v>
      </c>
      <c r="B1388" t="s">
        <v>2873</v>
      </c>
    </row>
    <row r="1389" spans="1:2" x14ac:dyDescent="0.3">
      <c r="A1389" t="s">
        <v>2827</v>
      </c>
      <c r="B1389" t="s">
        <v>2588</v>
      </c>
    </row>
    <row r="1390" spans="1:2" x14ac:dyDescent="0.3">
      <c r="A1390" t="s">
        <v>2827</v>
      </c>
      <c r="B1390" t="s">
        <v>2874</v>
      </c>
    </row>
    <row r="1391" spans="1:2" x14ac:dyDescent="0.3">
      <c r="A1391" t="s">
        <v>2827</v>
      </c>
      <c r="B1391" t="s">
        <v>2875</v>
      </c>
    </row>
    <row r="1392" spans="1:2" x14ac:dyDescent="0.3">
      <c r="A1392" t="s">
        <v>2827</v>
      </c>
      <c r="B1392" t="s">
        <v>2876</v>
      </c>
    </row>
    <row r="1393" spans="1:2" x14ac:dyDescent="0.3">
      <c r="A1393" t="s">
        <v>2827</v>
      </c>
      <c r="B1393" t="s">
        <v>2877</v>
      </c>
    </row>
    <row r="1394" spans="1:2" x14ac:dyDescent="0.3">
      <c r="A1394" t="s">
        <v>2827</v>
      </c>
      <c r="B1394" t="s">
        <v>2878</v>
      </c>
    </row>
    <row r="1395" spans="1:2" x14ac:dyDescent="0.3">
      <c r="A1395" t="s">
        <v>2827</v>
      </c>
      <c r="B1395" t="s">
        <v>2879</v>
      </c>
    </row>
    <row r="1396" spans="1:2" x14ac:dyDescent="0.3">
      <c r="A1396" t="s">
        <v>2827</v>
      </c>
      <c r="B1396" t="s">
        <v>2880</v>
      </c>
    </row>
    <row r="1397" spans="1:2" x14ac:dyDescent="0.3">
      <c r="A1397" t="s">
        <v>2827</v>
      </c>
      <c r="B1397" t="s">
        <v>2881</v>
      </c>
    </row>
    <row r="1398" spans="1:2" x14ac:dyDescent="0.3">
      <c r="A1398" t="s">
        <v>2827</v>
      </c>
      <c r="B1398" t="s">
        <v>2882</v>
      </c>
    </row>
    <row r="1399" spans="1:2" x14ac:dyDescent="0.3">
      <c r="A1399" t="s">
        <v>2827</v>
      </c>
      <c r="B1399" t="s">
        <v>2883</v>
      </c>
    </row>
    <row r="1400" spans="1:2" x14ac:dyDescent="0.3">
      <c r="A1400" t="s">
        <v>2827</v>
      </c>
      <c r="B1400" t="s">
        <v>2884</v>
      </c>
    </row>
    <row r="1401" spans="1:2" x14ac:dyDescent="0.3">
      <c r="A1401" t="s">
        <v>2827</v>
      </c>
      <c r="B1401" t="s">
        <v>2885</v>
      </c>
    </row>
    <row r="1402" spans="1:2" x14ac:dyDescent="0.3">
      <c r="A1402" t="s">
        <v>2827</v>
      </c>
      <c r="B1402" t="s">
        <v>2886</v>
      </c>
    </row>
    <row r="1403" spans="1:2" x14ac:dyDescent="0.3">
      <c r="A1403" t="s">
        <v>2827</v>
      </c>
      <c r="B1403" t="s">
        <v>2887</v>
      </c>
    </row>
    <row r="1404" spans="1:2" x14ac:dyDescent="0.3">
      <c r="A1404" t="s">
        <v>2827</v>
      </c>
      <c r="B1404" t="s">
        <v>2888</v>
      </c>
    </row>
    <row r="1405" spans="1:2" x14ac:dyDescent="0.3">
      <c r="A1405" t="s">
        <v>2827</v>
      </c>
      <c r="B1405" t="s">
        <v>2889</v>
      </c>
    </row>
    <row r="1406" spans="1:2" x14ac:dyDescent="0.3">
      <c r="A1406" t="s">
        <v>2827</v>
      </c>
      <c r="B1406" t="s">
        <v>2890</v>
      </c>
    </row>
    <row r="1407" spans="1:2" x14ac:dyDescent="0.3">
      <c r="A1407" t="s">
        <v>2827</v>
      </c>
      <c r="B1407" t="s">
        <v>2891</v>
      </c>
    </row>
    <row r="1408" spans="1:2" x14ac:dyDescent="0.3">
      <c r="A1408" t="s">
        <v>2827</v>
      </c>
      <c r="B1408" t="s">
        <v>2892</v>
      </c>
    </row>
    <row r="1409" spans="1:2" x14ac:dyDescent="0.3">
      <c r="A1409" t="s">
        <v>2827</v>
      </c>
      <c r="B1409" t="s">
        <v>2893</v>
      </c>
    </row>
    <row r="1410" spans="1:2" x14ac:dyDescent="0.3">
      <c r="A1410" t="s">
        <v>2827</v>
      </c>
      <c r="B1410" t="s">
        <v>2894</v>
      </c>
    </row>
    <row r="1411" spans="1:2" x14ac:dyDescent="0.3">
      <c r="A1411" t="s">
        <v>2827</v>
      </c>
      <c r="B1411" t="s">
        <v>2895</v>
      </c>
    </row>
    <row r="1412" spans="1:2" x14ac:dyDescent="0.3">
      <c r="A1412" t="s">
        <v>2827</v>
      </c>
      <c r="B1412" t="s">
        <v>2896</v>
      </c>
    </row>
    <row r="1413" spans="1:2" x14ac:dyDescent="0.3">
      <c r="A1413" t="s">
        <v>2827</v>
      </c>
      <c r="B1413" t="s">
        <v>2897</v>
      </c>
    </row>
    <row r="1414" spans="1:2" x14ac:dyDescent="0.3">
      <c r="A1414" t="s">
        <v>2827</v>
      </c>
      <c r="B1414" t="s">
        <v>2898</v>
      </c>
    </row>
    <row r="1415" spans="1:2" x14ac:dyDescent="0.3">
      <c r="A1415" t="s">
        <v>2827</v>
      </c>
      <c r="B1415" t="s">
        <v>2899</v>
      </c>
    </row>
    <row r="1416" spans="1:2" x14ac:dyDescent="0.3">
      <c r="A1416" t="s">
        <v>2827</v>
      </c>
      <c r="B1416" t="s">
        <v>2900</v>
      </c>
    </row>
    <row r="1417" spans="1:2" x14ac:dyDescent="0.3">
      <c r="A1417" t="s">
        <v>2827</v>
      </c>
      <c r="B1417" t="s">
        <v>2901</v>
      </c>
    </row>
    <row r="1418" spans="1:2" x14ac:dyDescent="0.3">
      <c r="A1418" t="s">
        <v>2827</v>
      </c>
      <c r="B1418" t="s">
        <v>2902</v>
      </c>
    </row>
    <row r="1419" spans="1:2" x14ac:dyDescent="0.3">
      <c r="A1419" t="s">
        <v>2827</v>
      </c>
      <c r="B1419" t="s">
        <v>2903</v>
      </c>
    </row>
    <row r="1420" spans="1:2" x14ac:dyDescent="0.3">
      <c r="A1420" t="s">
        <v>2827</v>
      </c>
      <c r="B1420" t="s">
        <v>2904</v>
      </c>
    </row>
    <row r="1421" spans="1:2" x14ac:dyDescent="0.3">
      <c r="A1421" t="s">
        <v>2827</v>
      </c>
      <c r="B1421" t="s">
        <v>2905</v>
      </c>
    </row>
    <row r="1422" spans="1:2" x14ac:dyDescent="0.3">
      <c r="A1422" t="s">
        <v>2827</v>
      </c>
      <c r="B1422" t="s">
        <v>2906</v>
      </c>
    </row>
    <row r="1423" spans="1:2" x14ac:dyDescent="0.3">
      <c r="A1423" t="s">
        <v>2827</v>
      </c>
      <c r="B1423" t="s">
        <v>2907</v>
      </c>
    </row>
    <row r="1424" spans="1:2" x14ac:dyDescent="0.3">
      <c r="A1424" t="s">
        <v>2827</v>
      </c>
      <c r="B1424" t="s">
        <v>2908</v>
      </c>
    </row>
    <row r="1425" spans="1:2" x14ac:dyDescent="0.3">
      <c r="A1425" t="s">
        <v>2827</v>
      </c>
      <c r="B1425" t="s">
        <v>2909</v>
      </c>
    </row>
    <row r="1426" spans="1:2" x14ac:dyDescent="0.3">
      <c r="A1426" t="s">
        <v>2827</v>
      </c>
      <c r="B1426" t="s">
        <v>2910</v>
      </c>
    </row>
    <row r="1427" spans="1:2" x14ac:dyDescent="0.3">
      <c r="A1427" t="s">
        <v>2827</v>
      </c>
      <c r="B1427" t="s">
        <v>2911</v>
      </c>
    </row>
    <row r="1428" spans="1:2" x14ac:dyDescent="0.3">
      <c r="A1428" t="s">
        <v>2827</v>
      </c>
      <c r="B1428" t="s">
        <v>2912</v>
      </c>
    </row>
    <row r="1429" spans="1:2" x14ac:dyDescent="0.3">
      <c r="A1429" t="s">
        <v>2827</v>
      </c>
      <c r="B1429" t="s">
        <v>2913</v>
      </c>
    </row>
    <row r="1430" spans="1:2" x14ac:dyDescent="0.3">
      <c r="A1430" t="s">
        <v>2827</v>
      </c>
      <c r="B1430" t="s">
        <v>2914</v>
      </c>
    </row>
    <row r="1431" spans="1:2" x14ac:dyDescent="0.3">
      <c r="A1431" t="s">
        <v>2827</v>
      </c>
      <c r="B1431" t="s">
        <v>2915</v>
      </c>
    </row>
    <row r="1432" spans="1:2" x14ac:dyDescent="0.3">
      <c r="A1432" t="s">
        <v>2827</v>
      </c>
      <c r="B1432" t="s">
        <v>2916</v>
      </c>
    </row>
    <row r="1433" spans="1:2" x14ac:dyDescent="0.3">
      <c r="A1433" t="s">
        <v>2827</v>
      </c>
      <c r="B1433" t="s">
        <v>2917</v>
      </c>
    </row>
    <row r="1434" spans="1:2" x14ac:dyDescent="0.3">
      <c r="A1434" t="s">
        <v>2827</v>
      </c>
      <c r="B1434" t="s">
        <v>2918</v>
      </c>
    </row>
    <row r="1435" spans="1:2" x14ac:dyDescent="0.3">
      <c r="A1435" t="s">
        <v>2827</v>
      </c>
      <c r="B1435" t="s">
        <v>2919</v>
      </c>
    </row>
    <row r="1436" spans="1:2" x14ac:dyDescent="0.3">
      <c r="A1436" t="s">
        <v>2827</v>
      </c>
      <c r="B1436" t="s">
        <v>2920</v>
      </c>
    </row>
    <row r="1437" spans="1:2" x14ac:dyDescent="0.3">
      <c r="A1437" t="s">
        <v>2827</v>
      </c>
      <c r="B1437" t="s">
        <v>2921</v>
      </c>
    </row>
    <row r="1438" spans="1:2" x14ac:dyDescent="0.3">
      <c r="A1438" t="s">
        <v>2827</v>
      </c>
      <c r="B1438" t="s">
        <v>2922</v>
      </c>
    </row>
    <row r="1439" spans="1:2" x14ac:dyDescent="0.3">
      <c r="A1439" t="s">
        <v>2827</v>
      </c>
      <c r="B1439" t="s">
        <v>2923</v>
      </c>
    </row>
    <row r="1440" spans="1:2" x14ac:dyDescent="0.3">
      <c r="A1440" t="s">
        <v>2827</v>
      </c>
      <c r="B1440" t="s">
        <v>2924</v>
      </c>
    </row>
    <row r="1441" spans="1:2" x14ac:dyDescent="0.3">
      <c r="A1441" t="s">
        <v>2827</v>
      </c>
      <c r="B1441" t="s">
        <v>2925</v>
      </c>
    </row>
    <row r="1442" spans="1:2" x14ac:dyDescent="0.3">
      <c r="A1442" t="s">
        <v>2827</v>
      </c>
      <c r="B1442" t="s">
        <v>2926</v>
      </c>
    </row>
    <row r="1443" spans="1:2" x14ac:dyDescent="0.3">
      <c r="A1443" t="s">
        <v>2827</v>
      </c>
      <c r="B1443" t="s">
        <v>2927</v>
      </c>
    </row>
    <row r="1444" spans="1:2" x14ac:dyDescent="0.3">
      <c r="A1444" t="s">
        <v>2827</v>
      </c>
      <c r="B1444" t="s">
        <v>2928</v>
      </c>
    </row>
    <row r="1445" spans="1:2" x14ac:dyDescent="0.3">
      <c r="A1445" t="s">
        <v>2827</v>
      </c>
      <c r="B1445" t="s">
        <v>2929</v>
      </c>
    </row>
    <row r="1446" spans="1:2" x14ac:dyDescent="0.3">
      <c r="A1446" t="s">
        <v>2827</v>
      </c>
      <c r="B1446" t="s">
        <v>2930</v>
      </c>
    </row>
    <row r="1447" spans="1:2" x14ac:dyDescent="0.3">
      <c r="A1447" t="s">
        <v>2827</v>
      </c>
      <c r="B1447" t="s">
        <v>2931</v>
      </c>
    </row>
    <row r="1448" spans="1:2" x14ac:dyDescent="0.3">
      <c r="A1448" t="s">
        <v>2827</v>
      </c>
      <c r="B1448" t="s">
        <v>2932</v>
      </c>
    </row>
    <row r="1449" spans="1:2" x14ac:dyDescent="0.3">
      <c r="A1449" t="s">
        <v>2827</v>
      </c>
      <c r="B1449" t="s">
        <v>2933</v>
      </c>
    </row>
    <row r="1450" spans="1:2" x14ac:dyDescent="0.3">
      <c r="A1450" t="s">
        <v>2827</v>
      </c>
      <c r="B1450" t="s">
        <v>2934</v>
      </c>
    </row>
    <row r="1451" spans="1:2" x14ac:dyDescent="0.3">
      <c r="A1451" t="s">
        <v>2827</v>
      </c>
      <c r="B1451" t="s">
        <v>2935</v>
      </c>
    </row>
    <row r="1452" spans="1:2" x14ac:dyDescent="0.3">
      <c r="A1452" t="s">
        <v>2827</v>
      </c>
      <c r="B1452" t="s">
        <v>2235</v>
      </c>
    </row>
    <row r="1453" spans="1:2" x14ac:dyDescent="0.3">
      <c r="A1453" t="s">
        <v>2827</v>
      </c>
      <c r="B1453" t="s">
        <v>2936</v>
      </c>
    </row>
    <row r="1454" spans="1:2" x14ac:dyDescent="0.3">
      <c r="A1454" t="s">
        <v>2827</v>
      </c>
      <c r="B1454" t="s">
        <v>2937</v>
      </c>
    </row>
    <row r="1455" spans="1:2" x14ac:dyDescent="0.3">
      <c r="A1455" t="s">
        <v>2827</v>
      </c>
      <c r="B1455" t="s">
        <v>2938</v>
      </c>
    </row>
    <row r="1456" spans="1:2" x14ac:dyDescent="0.3">
      <c r="A1456" t="s">
        <v>2827</v>
      </c>
      <c r="B1456" t="s">
        <v>2939</v>
      </c>
    </row>
    <row r="1457" spans="1:2" x14ac:dyDescent="0.3">
      <c r="A1457" t="s">
        <v>2827</v>
      </c>
      <c r="B1457" t="s">
        <v>2940</v>
      </c>
    </row>
    <row r="1458" spans="1:2" x14ac:dyDescent="0.3">
      <c r="A1458" t="s">
        <v>2827</v>
      </c>
      <c r="B1458" t="s">
        <v>2941</v>
      </c>
    </row>
    <row r="1459" spans="1:2" x14ac:dyDescent="0.3">
      <c r="A1459" t="s">
        <v>2827</v>
      </c>
      <c r="B1459" t="s">
        <v>2942</v>
      </c>
    </row>
    <row r="1460" spans="1:2" x14ac:dyDescent="0.3">
      <c r="A1460" t="s">
        <v>2827</v>
      </c>
      <c r="B1460" t="s">
        <v>2943</v>
      </c>
    </row>
    <row r="1461" spans="1:2" x14ac:dyDescent="0.3">
      <c r="A1461" t="s">
        <v>2827</v>
      </c>
      <c r="B1461" t="s">
        <v>2944</v>
      </c>
    </row>
    <row r="1462" spans="1:2" x14ac:dyDescent="0.3">
      <c r="A1462" t="s">
        <v>2827</v>
      </c>
      <c r="B1462" t="s">
        <v>2945</v>
      </c>
    </row>
    <row r="1463" spans="1:2" x14ac:dyDescent="0.3">
      <c r="A1463" t="s">
        <v>2827</v>
      </c>
      <c r="B1463" t="s">
        <v>2946</v>
      </c>
    </row>
    <row r="1464" spans="1:2" x14ac:dyDescent="0.3">
      <c r="A1464" t="s">
        <v>2827</v>
      </c>
      <c r="B1464" t="s">
        <v>2947</v>
      </c>
    </row>
    <row r="1465" spans="1:2" x14ac:dyDescent="0.3">
      <c r="A1465" t="s">
        <v>2827</v>
      </c>
      <c r="B1465" t="s">
        <v>2948</v>
      </c>
    </row>
    <row r="1466" spans="1:2" x14ac:dyDescent="0.3">
      <c r="A1466" t="s">
        <v>2827</v>
      </c>
      <c r="B1466" t="s">
        <v>2949</v>
      </c>
    </row>
    <row r="1467" spans="1:2" x14ac:dyDescent="0.3">
      <c r="A1467" t="s">
        <v>2827</v>
      </c>
      <c r="B1467" t="s">
        <v>2246</v>
      </c>
    </row>
    <row r="1468" spans="1:2" x14ac:dyDescent="0.3">
      <c r="A1468" t="s">
        <v>2827</v>
      </c>
      <c r="B1468" t="s">
        <v>2950</v>
      </c>
    </row>
    <row r="1469" spans="1:2" x14ac:dyDescent="0.3">
      <c r="A1469" t="s">
        <v>2827</v>
      </c>
      <c r="B1469" t="s">
        <v>2951</v>
      </c>
    </row>
    <row r="1470" spans="1:2" x14ac:dyDescent="0.3">
      <c r="A1470" t="s">
        <v>2827</v>
      </c>
      <c r="B1470" t="s">
        <v>2952</v>
      </c>
    </row>
    <row r="1471" spans="1:2" x14ac:dyDescent="0.3">
      <c r="A1471" t="s">
        <v>2827</v>
      </c>
      <c r="B1471" t="s">
        <v>2953</v>
      </c>
    </row>
    <row r="1472" spans="1:2" x14ac:dyDescent="0.3">
      <c r="A1472" t="s">
        <v>2827</v>
      </c>
      <c r="B1472" t="s">
        <v>2954</v>
      </c>
    </row>
    <row r="1473" spans="1:2" x14ac:dyDescent="0.3">
      <c r="A1473" t="s">
        <v>2827</v>
      </c>
      <c r="B1473" t="s">
        <v>2955</v>
      </c>
    </row>
    <row r="1474" spans="1:2" x14ac:dyDescent="0.3">
      <c r="A1474" t="s">
        <v>2827</v>
      </c>
      <c r="B1474" t="s">
        <v>2956</v>
      </c>
    </row>
    <row r="1475" spans="1:2" x14ac:dyDescent="0.3">
      <c r="A1475" t="s">
        <v>2827</v>
      </c>
      <c r="B1475" t="s">
        <v>2957</v>
      </c>
    </row>
    <row r="1476" spans="1:2" x14ac:dyDescent="0.3">
      <c r="A1476" t="s">
        <v>2827</v>
      </c>
      <c r="B1476" t="s">
        <v>2958</v>
      </c>
    </row>
    <row r="1477" spans="1:2" x14ac:dyDescent="0.3">
      <c r="A1477" t="s">
        <v>2827</v>
      </c>
      <c r="B1477" t="s">
        <v>2959</v>
      </c>
    </row>
    <row r="1478" spans="1:2" x14ac:dyDescent="0.3">
      <c r="A1478" t="s">
        <v>2827</v>
      </c>
      <c r="B1478" t="s">
        <v>2960</v>
      </c>
    </row>
    <row r="1479" spans="1:2" x14ac:dyDescent="0.3">
      <c r="A1479" t="s">
        <v>2827</v>
      </c>
      <c r="B1479" t="s">
        <v>2961</v>
      </c>
    </row>
    <row r="1480" spans="1:2" x14ac:dyDescent="0.3">
      <c r="A1480" t="s">
        <v>2827</v>
      </c>
      <c r="B1480" t="s">
        <v>2962</v>
      </c>
    </row>
    <row r="1481" spans="1:2" x14ac:dyDescent="0.3">
      <c r="A1481" t="s">
        <v>2827</v>
      </c>
      <c r="B1481" t="s">
        <v>2963</v>
      </c>
    </row>
    <row r="1482" spans="1:2" x14ac:dyDescent="0.3">
      <c r="A1482" t="s">
        <v>2827</v>
      </c>
      <c r="B1482" t="s">
        <v>2964</v>
      </c>
    </row>
    <row r="1483" spans="1:2" x14ac:dyDescent="0.3">
      <c r="A1483" t="s">
        <v>2827</v>
      </c>
      <c r="B1483" t="s">
        <v>2965</v>
      </c>
    </row>
    <row r="1484" spans="1:2" x14ac:dyDescent="0.3">
      <c r="A1484" t="s">
        <v>2827</v>
      </c>
      <c r="B1484" t="s">
        <v>2966</v>
      </c>
    </row>
    <row r="1485" spans="1:2" x14ac:dyDescent="0.3">
      <c r="A1485" t="s">
        <v>2827</v>
      </c>
      <c r="B1485" t="s">
        <v>2967</v>
      </c>
    </row>
    <row r="1486" spans="1:2" x14ac:dyDescent="0.3">
      <c r="A1486" t="s">
        <v>2827</v>
      </c>
      <c r="B1486" t="s">
        <v>2968</v>
      </c>
    </row>
    <row r="1487" spans="1:2" x14ac:dyDescent="0.3">
      <c r="A1487" t="s">
        <v>2827</v>
      </c>
      <c r="B1487" t="s">
        <v>2969</v>
      </c>
    </row>
    <row r="1488" spans="1:2" x14ac:dyDescent="0.3">
      <c r="A1488" t="s">
        <v>2827</v>
      </c>
      <c r="B1488" t="s">
        <v>2970</v>
      </c>
    </row>
    <row r="1489" spans="1:2" x14ac:dyDescent="0.3">
      <c r="A1489" t="s">
        <v>2827</v>
      </c>
      <c r="B1489" t="s">
        <v>2971</v>
      </c>
    </row>
    <row r="1490" spans="1:2" x14ac:dyDescent="0.3">
      <c r="A1490" t="s">
        <v>2827</v>
      </c>
      <c r="B1490" t="s">
        <v>2972</v>
      </c>
    </row>
    <row r="1491" spans="1:2" x14ac:dyDescent="0.3">
      <c r="A1491" t="s">
        <v>2827</v>
      </c>
      <c r="B1491" t="s">
        <v>2973</v>
      </c>
    </row>
    <row r="1492" spans="1:2" x14ac:dyDescent="0.3">
      <c r="A1492" t="s">
        <v>2827</v>
      </c>
      <c r="B1492" t="s">
        <v>2974</v>
      </c>
    </row>
    <row r="1493" spans="1:2" x14ac:dyDescent="0.3">
      <c r="A1493" t="s">
        <v>2827</v>
      </c>
      <c r="B1493" t="s">
        <v>2975</v>
      </c>
    </row>
    <row r="1494" spans="1:2" x14ac:dyDescent="0.3">
      <c r="A1494" t="s">
        <v>2827</v>
      </c>
      <c r="B1494" t="s">
        <v>2976</v>
      </c>
    </row>
    <row r="1495" spans="1:2" x14ac:dyDescent="0.3">
      <c r="A1495" t="s">
        <v>2827</v>
      </c>
      <c r="B1495" t="s">
        <v>2977</v>
      </c>
    </row>
    <row r="1496" spans="1:2" x14ac:dyDescent="0.3">
      <c r="A1496" t="s">
        <v>2827</v>
      </c>
      <c r="B1496" t="s">
        <v>2978</v>
      </c>
    </row>
    <row r="1497" spans="1:2" x14ac:dyDescent="0.3">
      <c r="A1497" t="s">
        <v>2827</v>
      </c>
      <c r="B1497" t="s">
        <v>2979</v>
      </c>
    </row>
    <row r="1498" spans="1:2" x14ac:dyDescent="0.3">
      <c r="A1498" t="s">
        <v>2827</v>
      </c>
      <c r="B1498" t="s">
        <v>2980</v>
      </c>
    </row>
    <row r="1499" spans="1:2" x14ac:dyDescent="0.3">
      <c r="A1499" t="s">
        <v>2827</v>
      </c>
      <c r="B1499" t="s">
        <v>2981</v>
      </c>
    </row>
    <row r="1500" spans="1:2" x14ac:dyDescent="0.3">
      <c r="A1500" t="s">
        <v>2827</v>
      </c>
      <c r="B1500" t="s">
        <v>2982</v>
      </c>
    </row>
    <row r="1501" spans="1:2" x14ac:dyDescent="0.3">
      <c r="A1501" t="s">
        <v>2827</v>
      </c>
      <c r="B1501" t="s">
        <v>2983</v>
      </c>
    </row>
    <row r="1502" spans="1:2" x14ac:dyDescent="0.3">
      <c r="A1502" t="s">
        <v>2827</v>
      </c>
      <c r="B1502" t="s">
        <v>2984</v>
      </c>
    </row>
    <row r="1503" spans="1:2" x14ac:dyDescent="0.3">
      <c r="A1503" t="s">
        <v>2827</v>
      </c>
      <c r="B1503" t="s">
        <v>2985</v>
      </c>
    </row>
    <row r="1504" spans="1:2" x14ac:dyDescent="0.3">
      <c r="A1504" t="s">
        <v>2827</v>
      </c>
      <c r="B1504" t="s">
        <v>2986</v>
      </c>
    </row>
    <row r="1505" spans="1:2" x14ac:dyDescent="0.3">
      <c r="A1505" t="s">
        <v>2827</v>
      </c>
      <c r="B1505" t="s">
        <v>2987</v>
      </c>
    </row>
    <row r="1506" spans="1:2" x14ac:dyDescent="0.3">
      <c r="A1506" t="s">
        <v>2827</v>
      </c>
      <c r="B1506" t="s">
        <v>2988</v>
      </c>
    </row>
    <row r="1507" spans="1:2" x14ac:dyDescent="0.3">
      <c r="A1507" t="s">
        <v>2827</v>
      </c>
      <c r="B1507" t="s">
        <v>2989</v>
      </c>
    </row>
    <row r="1508" spans="1:2" x14ac:dyDescent="0.3">
      <c r="A1508" t="s">
        <v>2827</v>
      </c>
      <c r="B1508" t="s">
        <v>2990</v>
      </c>
    </row>
    <row r="1509" spans="1:2" x14ac:dyDescent="0.3">
      <c r="A1509" t="s">
        <v>2827</v>
      </c>
      <c r="B1509" t="s">
        <v>2991</v>
      </c>
    </row>
    <row r="1510" spans="1:2" x14ac:dyDescent="0.3">
      <c r="A1510" t="s">
        <v>2827</v>
      </c>
      <c r="B1510" t="s">
        <v>2992</v>
      </c>
    </row>
    <row r="1511" spans="1:2" x14ac:dyDescent="0.3">
      <c r="A1511" t="s">
        <v>2827</v>
      </c>
      <c r="B1511" t="s">
        <v>2993</v>
      </c>
    </row>
    <row r="1512" spans="1:2" x14ac:dyDescent="0.3">
      <c r="A1512" t="s">
        <v>2827</v>
      </c>
      <c r="B1512" t="s">
        <v>2994</v>
      </c>
    </row>
    <row r="1513" spans="1:2" x14ac:dyDescent="0.3">
      <c r="A1513" t="s">
        <v>2827</v>
      </c>
      <c r="B1513" t="s">
        <v>2995</v>
      </c>
    </row>
    <row r="1514" spans="1:2" x14ac:dyDescent="0.3">
      <c r="A1514" t="s">
        <v>2827</v>
      </c>
      <c r="B1514" t="s">
        <v>2996</v>
      </c>
    </row>
    <row r="1515" spans="1:2" x14ac:dyDescent="0.3">
      <c r="A1515" t="s">
        <v>2827</v>
      </c>
      <c r="B1515" t="s">
        <v>2997</v>
      </c>
    </row>
    <row r="1516" spans="1:2" x14ac:dyDescent="0.3">
      <c r="A1516" t="s">
        <v>2827</v>
      </c>
      <c r="B1516" t="s">
        <v>2998</v>
      </c>
    </row>
    <row r="1517" spans="1:2" x14ac:dyDescent="0.3">
      <c r="A1517" t="s">
        <v>2827</v>
      </c>
      <c r="B1517" t="s">
        <v>2999</v>
      </c>
    </row>
    <row r="1518" spans="1:2" x14ac:dyDescent="0.3">
      <c r="A1518" t="s">
        <v>2827</v>
      </c>
      <c r="B1518" t="s">
        <v>3000</v>
      </c>
    </row>
    <row r="1519" spans="1:2" x14ac:dyDescent="0.3">
      <c r="A1519" t="s">
        <v>2827</v>
      </c>
      <c r="B1519" t="s">
        <v>3001</v>
      </c>
    </row>
    <row r="1520" spans="1:2" x14ac:dyDescent="0.3">
      <c r="A1520" t="s">
        <v>2827</v>
      </c>
      <c r="B1520" t="s">
        <v>3002</v>
      </c>
    </row>
    <row r="1521" spans="1:2" x14ac:dyDescent="0.3">
      <c r="A1521" t="s">
        <v>2827</v>
      </c>
      <c r="B1521" t="s">
        <v>3003</v>
      </c>
    </row>
    <row r="1522" spans="1:2" x14ac:dyDescent="0.3">
      <c r="A1522" t="s">
        <v>2827</v>
      </c>
      <c r="B1522" t="s">
        <v>3004</v>
      </c>
    </row>
    <row r="1523" spans="1:2" x14ac:dyDescent="0.3">
      <c r="A1523" t="s">
        <v>2827</v>
      </c>
      <c r="B1523" t="s">
        <v>3005</v>
      </c>
    </row>
    <row r="1524" spans="1:2" x14ac:dyDescent="0.3">
      <c r="A1524" t="s">
        <v>2827</v>
      </c>
      <c r="B1524" t="s">
        <v>3006</v>
      </c>
    </row>
    <row r="1525" spans="1:2" x14ac:dyDescent="0.3">
      <c r="A1525" t="s">
        <v>2827</v>
      </c>
      <c r="B1525" t="s">
        <v>3007</v>
      </c>
    </row>
    <row r="1526" spans="1:2" x14ac:dyDescent="0.3">
      <c r="A1526" t="s">
        <v>2827</v>
      </c>
      <c r="B1526" t="s">
        <v>3008</v>
      </c>
    </row>
    <row r="1527" spans="1:2" x14ac:dyDescent="0.3">
      <c r="A1527" t="s">
        <v>2827</v>
      </c>
      <c r="B1527" t="s">
        <v>3009</v>
      </c>
    </row>
    <row r="1528" spans="1:2" x14ac:dyDescent="0.3">
      <c r="A1528" t="s">
        <v>2827</v>
      </c>
      <c r="B1528" t="s">
        <v>3010</v>
      </c>
    </row>
    <row r="1529" spans="1:2" x14ac:dyDescent="0.3">
      <c r="A1529" t="s">
        <v>2827</v>
      </c>
      <c r="B1529" t="s">
        <v>3011</v>
      </c>
    </row>
    <row r="1530" spans="1:2" x14ac:dyDescent="0.3">
      <c r="A1530" t="s">
        <v>2827</v>
      </c>
      <c r="B1530" t="s">
        <v>3012</v>
      </c>
    </row>
    <row r="1531" spans="1:2" x14ac:dyDescent="0.3">
      <c r="A1531" t="s">
        <v>2827</v>
      </c>
      <c r="B1531" t="s">
        <v>3013</v>
      </c>
    </row>
    <row r="1532" spans="1:2" x14ac:dyDescent="0.3">
      <c r="A1532" t="s">
        <v>2827</v>
      </c>
      <c r="B1532" t="s">
        <v>3014</v>
      </c>
    </row>
    <row r="1533" spans="1:2" x14ac:dyDescent="0.3">
      <c r="A1533" t="s">
        <v>2827</v>
      </c>
      <c r="B1533" t="s">
        <v>3015</v>
      </c>
    </row>
    <row r="1534" spans="1:2" x14ac:dyDescent="0.3">
      <c r="A1534" t="s">
        <v>2827</v>
      </c>
      <c r="B1534" t="s">
        <v>3016</v>
      </c>
    </row>
    <row r="1535" spans="1:2" x14ac:dyDescent="0.3">
      <c r="A1535" t="s">
        <v>2827</v>
      </c>
      <c r="B1535" t="s">
        <v>3017</v>
      </c>
    </row>
    <row r="1536" spans="1:2" x14ac:dyDescent="0.3">
      <c r="A1536" t="s">
        <v>2827</v>
      </c>
      <c r="B1536" t="s">
        <v>3018</v>
      </c>
    </row>
    <row r="1537" spans="1:2" x14ac:dyDescent="0.3">
      <c r="A1537" t="s">
        <v>2827</v>
      </c>
      <c r="B1537" t="s">
        <v>3019</v>
      </c>
    </row>
    <row r="1538" spans="1:2" x14ac:dyDescent="0.3">
      <c r="A1538" t="s">
        <v>2827</v>
      </c>
      <c r="B1538" t="s">
        <v>3020</v>
      </c>
    </row>
    <row r="1539" spans="1:2" x14ac:dyDescent="0.3">
      <c r="A1539" t="s">
        <v>2827</v>
      </c>
      <c r="B1539" t="s">
        <v>3021</v>
      </c>
    </row>
    <row r="1540" spans="1:2" x14ac:dyDescent="0.3">
      <c r="A1540" t="s">
        <v>2827</v>
      </c>
      <c r="B1540" t="s">
        <v>3022</v>
      </c>
    </row>
    <row r="1541" spans="1:2" x14ac:dyDescent="0.3">
      <c r="A1541" t="s">
        <v>2827</v>
      </c>
      <c r="B1541" t="s">
        <v>3023</v>
      </c>
    </row>
    <row r="1542" spans="1:2" x14ac:dyDescent="0.3">
      <c r="A1542" t="s">
        <v>2827</v>
      </c>
      <c r="B1542" t="s">
        <v>3024</v>
      </c>
    </row>
    <row r="1543" spans="1:2" x14ac:dyDescent="0.3">
      <c r="A1543" t="s">
        <v>2827</v>
      </c>
      <c r="B1543" t="s">
        <v>3025</v>
      </c>
    </row>
    <row r="1544" spans="1:2" x14ac:dyDescent="0.3">
      <c r="A1544" t="s">
        <v>2827</v>
      </c>
      <c r="B1544" t="s">
        <v>3026</v>
      </c>
    </row>
    <row r="1545" spans="1:2" x14ac:dyDescent="0.3">
      <c r="A1545" t="s">
        <v>2827</v>
      </c>
      <c r="B1545" t="s">
        <v>3027</v>
      </c>
    </row>
    <row r="1546" spans="1:2" x14ac:dyDescent="0.3">
      <c r="A1546" t="s">
        <v>2827</v>
      </c>
      <c r="B1546" t="s">
        <v>3028</v>
      </c>
    </row>
    <row r="1547" spans="1:2" x14ac:dyDescent="0.3">
      <c r="A1547" t="s">
        <v>2827</v>
      </c>
      <c r="B1547" t="s">
        <v>3029</v>
      </c>
    </row>
    <row r="1548" spans="1:2" x14ac:dyDescent="0.3">
      <c r="A1548" t="s">
        <v>2827</v>
      </c>
      <c r="B1548" t="s">
        <v>3030</v>
      </c>
    </row>
    <row r="1549" spans="1:2" x14ac:dyDescent="0.3">
      <c r="A1549" t="s">
        <v>2827</v>
      </c>
      <c r="B1549" t="s">
        <v>3031</v>
      </c>
    </row>
    <row r="1550" spans="1:2" x14ac:dyDescent="0.3">
      <c r="A1550" t="s">
        <v>2827</v>
      </c>
      <c r="B1550" t="s">
        <v>3032</v>
      </c>
    </row>
    <row r="1551" spans="1:2" x14ac:dyDescent="0.3">
      <c r="A1551" t="s">
        <v>2827</v>
      </c>
      <c r="B1551" t="s">
        <v>3033</v>
      </c>
    </row>
    <row r="1552" spans="1:2" x14ac:dyDescent="0.3">
      <c r="A1552" t="s">
        <v>2827</v>
      </c>
      <c r="B1552" t="s">
        <v>3034</v>
      </c>
    </row>
    <row r="1553" spans="1:2" x14ac:dyDescent="0.3">
      <c r="A1553" t="s">
        <v>2827</v>
      </c>
      <c r="B1553" t="s">
        <v>3035</v>
      </c>
    </row>
    <row r="1554" spans="1:2" x14ac:dyDescent="0.3">
      <c r="A1554" t="s">
        <v>2827</v>
      </c>
      <c r="B1554" t="s">
        <v>3036</v>
      </c>
    </row>
    <row r="1555" spans="1:2" x14ac:dyDescent="0.3">
      <c r="A1555" t="s">
        <v>2827</v>
      </c>
      <c r="B1555" t="s">
        <v>3037</v>
      </c>
    </row>
    <row r="1556" spans="1:2" x14ac:dyDescent="0.3">
      <c r="A1556" t="s">
        <v>2827</v>
      </c>
      <c r="B1556" t="s">
        <v>3038</v>
      </c>
    </row>
    <row r="1557" spans="1:2" x14ac:dyDescent="0.3">
      <c r="A1557" t="s">
        <v>2827</v>
      </c>
      <c r="B1557" t="s">
        <v>3039</v>
      </c>
    </row>
    <row r="1558" spans="1:2" x14ac:dyDescent="0.3">
      <c r="A1558" t="s">
        <v>2827</v>
      </c>
      <c r="B1558" t="s">
        <v>3040</v>
      </c>
    </row>
    <row r="1559" spans="1:2" x14ac:dyDescent="0.3">
      <c r="A1559" t="s">
        <v>2827</v>
      </c>
      <c r="B1559" t="s">
        <v>3041</v>
      </c>
    </row>
    <row r="1560" spans="1:2" x14ac:dyDescent="0.3">
      <c r="A1560" t="s">
        <v>2827</v>
      </c>
      <c r="B1560" t="s">
        <v>3042</v>
      </c>
    </row>
    <row r="1561" spans="1:2" x14ac:dyDescent="0.3">
      <c r="A1561" t="s">
        <v>2827</v>
      </c>
      <c r="B1561" t="s">
        <v>3043</v>
      </c>
    </row>
    <row r="1562" spans="1:2" x14ac:dyDescent="0.3">
      <c r="A1562" t="s">
        <v>2827</v>
      </c>
      <c r="B1562" t="s">
        <v>3044</v>
      </c>
    </row>
    <row r="1563" spans="1:2" x14ac:dyDescent="0.3">
      <c r="A1563" t="s">
        <v>2827</v>
      </c>
      <c r="B1563" t="s">
        <v>3045</v>
      </c>
    </row>
    <row r="1564" spans="1:2" x14ac:dyDescent="0.3">
      <c r="A1564" t="s">
        <v>2827</v>
      </c>
      <c r="B1564" t="s">
        <v>3046</v>
      </c>
    </row>
    <row r="1565" spans="1:2" x14ac:dyDescent="0.3">
      <c r="A1565" t="s">
        <v>2827</v>
      </c>
      <c r="B1565" t="s">
        <v>3047</v>
      </c>
    </row>
    <row r="1566" spans="1:2" x14ac:dyDescent="0.3">
      <c r="A1566" t="s">
        <v>2827</v>
      </c>
      <c r="B1566" t="s">
        <v>3048</v>
      </c>
    </row>
    <row r="1567" spans="1:2" x14ac:dyDescent="0.3">
      <c r="A1567" t="s">
        <v>2827</v>
      </c>
      <c r="B1567" t="s">
        <v>3049</v>
      </c>
    </row>
    <row r="1568" spans="1:2" x14ac:dyDescent="0.3">
      <c r="A1568" t="s">
        <v>2827</v>
      </c>
      <c r="B1568" t="s">
        <v>3050</v>
      </c>
    </row>
    <row r="1569" spans="1:2" x14ac:dyDescent="0.3">
      <c r="A1569" t="s">
        <v>2827</v>
      </c>
      <c r="B1569" t="s">
        <v>3051</v>
      </c>
    </row>
    <row r="1570" spans="1:2" x14ac:dyDescent="0.3">
      <c r="A1570" t="s">
        <v>2827</v>
      </c>
      <c r="B1570" t="s">
        <v>3052</v>
      </c>
    </row>
    <row r="1571" spans="1:2" x14ac:dyDescent="0.3">
      <c r="A1571" t="s">
        <v>2827</v>
      </c>
      <c r="B1571" t="s">
        <v>3053</v>
      </c>
    </row>
    <row r="1572" spans="1:2" x14ac:dyDescent="0.3">
      <c r="A1572" t="s">
        <v>2827</v>
      </c>
      <c r="B1572" t="s">
        <v>3054</v>
      </c>
    </row>
    <row r="1573" spans="1:2" x14ac:dyDescent="0.3">
      <c r="A1573" t="s">
        <v>2827</v>
      </c>
      <c r="B1573" t="s">
        <v>3055</v>
      </c>
    </row>
    <row r="1574" spans="1:2" x14ac:dyDescent="0.3">
      <c r="A1574" t="s">
        <v>2827</v>
      </c>
      <c r="B1574" t="s">
        <v>3056</v>
      </c>
    </row>
    <row r="1575" spans="1:2" x14ac:dyDescent="0.3">
      <c r="A1575" t="s">
        <v>2827</v>
      </c>
      <c r="B1575" t="s">
        <v>3057</v>
      </c>
    </row>
    <row r="1576" spans="1:2" x14ac:dyDescent="0.3">
      <c r="A1576" t="s">
        <v>2827</v>
      </c>
      <c r="B1576" t="s">
        <v>3058</v>
      </c>
    </row>
    <row r="1577" spans="1:2" x14ac:dyDescent="0.3">
      <c r="A1577" t="s">
        <v>2827</v>
      </c>
      <c r="B1577" t="s">
        <v>3059</v>
      </c>
    </row>
    <row r="1578" spans="1:2" x14ac:dyDescent="0.3">
      <c r="A1578" t="s">
        <v>2827</v>
      </c>
      <c r="B1578" t="s">
        <v>3060</v>
      </c>
    </row>
    <row r="1579" spans="1:2" x14ac:dyDescent="0.3">
      <c r="A1579" t="s">
        <v>2827</v>
      </c>
      <c r="B1579" t="s">
        <v>3061</v>
      </c>
    </row>
    <row r="1580" spans="1:2" x14ac:dyDescent="0.3">
      <c r="A1580" t="s">
        <v>2827</v>
      </c>
      <c r="B1580" t="s">
        <v>3062</v>
      </c>
    </row>
    <row r="1581" spans="1:2" x14ac:dyDescent="0.3">
      <c r="A1581" t="s">
        <v>2827</v>
      </c>
      <c r="B1581" t="s">
        <v>3063</v>
      </c>
    </row>
    <row r="1582" spans="1:2" x14ac:dyDescent="0.3">
      <c r="A1582" t="s">
        <v>2827</v>
      </c>
      <c r="B1582" t="s">
        <v>3064</v>
      </c>
    </row>
    <row r="1583" spans="1:2" x14ac:dyDescent="0.3">
      <c r="A1583" t="s">
        <v>2827</v>
      </c>
      <c r="B1583" t="s">
        <v>3065</v>
      </c>
    </row>
    <row r="1584" spans="1:2" x14ac:dyDescent="0.3">
      <c r="A1584" t="s">
        <v>2827</v>
      </c>
      <c r="B1584" t="s">
        <v>3066</v>
      </c>
    </row>
    <row r="1585" spans="1:2" x14ac:dyDescent="0.3">
      <c r="A1585" t="s">
        <v>2827</v>
      </c>
      <c r="B1585" t="s">
        <v>3067</v>
      </c>
    </row>
    <row r="1586" spans="1:2" x14ac:dyDescent="0.3">
      <c r="A1586" t="s">
        <v>2827</v>
      </c>
      <c r="B1586" t="s">
        <v>3068</v>
      </c>
    </row>
    <row r="1587" spans="1:2" x14ac:dyDescent="0.3">
      <c r="A1587" t="s">
        <v>2827</v>
      </c>
      <c r="B1587" t="s">
        <v>3069</v>
      </c>
    </row>
    <row r="1588" spans="1:2" x14ac:dyDescent="0.3">
      <c r="A1588" t="s">
        <v>2827</v>
      </c>
      <c r="B1588" t="s">
        <v>3070</v>
      </c>
    </row>
    <row r="1589" spans="1:2" x14ac:dyDescent="0.3">
      <c r="A1589" t="s">
        <v>2827</v>
      </c>
      <c r="B1589" t="s">
        <v>3071</v>
      </c>
    </row>
    <row r="1590" spans="1:2" x14ac:dyDescent="0.3">
      <c r="A1590" t="s">
        <v>2827</v>
      </c>
      <c r="B1590" t="s">
        <v>3072</v>
      </c>
    </row>
    <row r="1591" spans="1:2" x14ac:dyDescent="0.3">
      <c r="A1591" t="s">
        <v>2827</v>
      </c>
      <c r="B1591" t="s">
        <v>3073</v>
      </c>
    </row>
    <row r="1592" spans="1:2" x14ac:dyDescent="0.3">
      <c r="A1592" t="s">
        <v>2827</v>
      </c>
      <c r="B1592" t="s">
        <v>3074</v>
      </c>
    </row>
    <row r="1593" spans="1:2" x14ac:dyDescent="0.3">
      <c r="A1593" t="s">
        <v>2827</v>
      </c>
      <c r="B1593" t="s">
        <v>3075</v>
      </c>
    </row>
    <row r="1594" spans="1:2" x14ac:dyDescent="0.3">
      <c r="A1594" t="s">
        <v>2827</v>
      </c>
      <c r="B1594" t="s">
        <v>3076</v>
      </c>
    </row>
    <row r="1595" spans="1:2" x14ac:dyDescent="0.3">
      <c r="A1595" t="s">
        <v>2827</v>
      </c>
      <c r="B1595" t="s">
        <v>3077</v>
      </c>
    </row>
    <row r="1596" spans="1:2" x14ac:dyDescent="0.3">
      <c r="A1596" t="s">
        <v>2827</v>
      </c>
      <c r="B1596" t="s">
        <v>3078</v>
      </c>
    </row>
    <row r="1597" spans="1:2" x14ac:dyDescent="0.3">
      <c r="A1597" t="s">
        <v>2827</v>
      </c>
      <c r="B1597" t="s">
        <v>3079</v>
      </c>
    </row>
    <row r="1598" spans="1:2" x14ac:dyDescent="0.3">
      <c r="A1598" t="s">
        <v>2827</v>
      </c>
      <c r="B1598" t="s">
        <v>3080</v>
      </c>
    </row>
    <row r="1599" spans="1:2" x14ac:dyDescent="0.3">
      <c r="A1599" t="s">
        <v>2827</v>
      </c>
      <c r="B1599" t="s">
        <v>3081</v>
      </c>
    </row>
    <row r="1600" spans="1:2" x14ac:dyDescent="0.3">
      <c r="A1600" t="s">
        <v>2827</v>
      </c>
      <c r="B1600" t="s">
        <v>3082</v>
      </c>
    </row>
    <row r="1601" spans="1:2" x14ac:dyDescent="0.3">
      <c r="A1601" t="s">
        <v>2827</v>
      </c>
      <c r="B1601" t="s">
        <v>3083</v>
      </c>
    </row>
    <row r="1602" spans="1:2" x14ac:dyDescent="0.3">
      <c r="A1602" t="s">
        <v>2827</v>
      </c>
      <c r="B1602" t="s">
        <v>3084</v>
      </c>
    </row>
    <row r="1603" spans="1:2" x14ac:dyDescent="0.3">
      <c r="A1603" t="s">
        <v>2827</v>
      </c>
      <c r="B1603" t="s">
        <v>3085</v>
      </c>
    </row>
    <row r="1604" spans="1:2" x14ac:dyDescent="0.3">
      <c r="A1604" t="s">
        <v>2827</v>
      </c>
      <c r="B1604" t="s">
        <v>3086</v>
      </c>
    </row>
    <row r="1605" spans="1:2" x14ac:dyDescent="0.3">
      <c r="A1605" t="s">
        <v>2827</v>
      </c>
      <c r="B1605" t="s">
        <v>3087</v>
      </c>
    </row>
    <row r="1606" spans="1:2" x14ac:dyDescent="0.3">
      <c r="A1606" t="s">
        <v>2827</v>
      </c>
      <c r="B1606" t="s">
        <v>3088</v>
      </c>
    </row>
    <row r="1607" spans="1:2" x14ac:dyDescent="0.3">
      <c r="A1607" t="s">
        <v>2827</v>
      </c>
      <c r="B1607" t="s">
        <v>3089</v>
      </c>
    </row>
    <row r="1608" spans="1:2" x14ac:dyDescent="0.3">
      <c r="A1608" t="s">
        <v>2827</v>
      </c>
      <c r="B1608" t="s">
        <v>3090</v>
      </c>
    </row>
    <row r="1609" spans="1:2" x14ac:dyDescent="0.3">
      <c r="A1609" t="s">
        <v>2827</v>
      </c>
      <c r="B1609" t="s">
        <v>3091</v>
      </c>
    </row>
    <row r="1610" spans="1:2" x14ac:dyDescent="0.3">
      <c r="A1610" t="s">
        <v>2827</v>
      </c>
      <c r="B1610" t="s">
        <v>3092</v>
      </c>
    </row>
    <row r="1611" spans="1:2" x14ac:dyDescent="0.3">
      <c r="A1611" t="s">
        <v>2827</v>
      </c>
      <c r="B1611" t="s">
        <v>3093</v>
      </c>
    </row>
    <row r="1612" spans="1:2" x14ac:dyDescent="0.3">
      <c r="A1612" t="s">
        <v>2827</v>
      </c>
      <c r="B1612" t="s">
        <v>3094</v>
      </c>
    </row>
    <row r="1613" spans="1:2" x14ac:dyDescent="0.3">
      <c r="A1613" t="s">
        <v>2827</v>
      </c>
      <c r="B1613" t="s">
        <v>3095</v>
      </c>
    </row>
    <row r="1614" spans="1:2" x14ac:dyDescent="0.3">
      <c r="A1614" t="s">
        <v>2827</v>
      </c>
      <c r="B1614" t="s">
        <v>3096</v>
      </c>
    </row>
    <row r="1615" spans="1:2" x14ac:dyDescent="0.3">
      <c r="A1615" t="s">
        <v>2827</v>
      </c>
      <c r="B1615" t="s">
        <v>3097</v>
      </c>
    </row>
    <row r="1616" spans="1:2" x14ac:dyDescent="0.3">
      <c r="A1616" t="s">
        <v>2827</v>
      </c>
      <c r="B1616" t="s">
        <v>3098</v>
      </c>
    </row>
    <row r="1617" spans="1:2" x14ac:dyDescent="0.3">
      <c r="A1617" t="s">
        <v>2827</v>
      </c>
      <c r="B1617" t="s">
        <v>3099</v>
      </c>
    </row>
    <row r="1618" spans="1:2" x14ac:dyDescent="0.3">
      <c r="A1618" t="s">
        <v>2827</v>
      </c>
      <c r="B1618" t="s">
        <v>3100</v>
      </c>
    </row>
    <row r="1619" spans="1:2" x14ac:dyDescent="0.3">
      <c r="A1619" t="s">
        <v>2827</v>
      </c>
      <c r="B1619" t="s">
        <v>3101</v>
      </c>
    </row>
    <row r="1620" spans="1:2" x14ac:dyDescent="0.3">
      <c r="A1620" t="s">
        <v>2827</v>
      </c>
      <c r="B1620" t="s">
        <v>3102</v>
      </c>
    </row>
    <row r="1621" spans="1:2" x14ac:dyDescent="0.3">
      <c r="A1621" t="s">
        <v>2827</v>
      </c>
      <c r="B1621" t="s">
        <v>3103</v>
      </c>
    </row>
    <row r="1622" spans="1:2" x14ac:dyDescent="0.3">
      <c r="A1622" t="s">
        <v>2827</v>
      </c>
      <c r="B1622" t="s">
        <v>3104</v>
      </c>
    </row>
    <row r="1623" spans="1:2" x14ac:dyDescent="0.3">
      <c r="A1623" t="s">
        <v>2827</v>
      </c>
      <c r="B1623" t="s">
        <v>3105</v>
      </c>
    </row>
    <row r="1624" spans="1:2" x14ac:dyDescent="0.3">
      <c r="A1624" t="s">
        <v>2827</v>
      </c>
      <c r="B1624" t="s">
        <v>3106</v>
      </c>
    </row>
    <row r="1625" spans="1:2" x14ac:dyDescent="0.3">
      <c r="A1625" t="s">
        <v>2827</v>
      </c>
      <c r="B1625" t="s">
        <v>3107</v>
      </c>
    </row>
    <row r="1626" spans="1:2" x14ac:dyDescent="0.3">
      <c r="A1626" t="s">
        <v>2827</v>
      </c>
      <c r="B1626" t="s">
        <v>3108</v>
      </c>
    </row>
    <row r="1627" spans="1:2" x14ac:dyDescent="0.3">
      <c r="A1627" t="s">
        <v>2827</v>
      </c>
      <c r="B1627" t="s">
        <v>3109</v>
      </c>
    </row>
    <row r="1628" spans="1:2" x14ac:dyDescent="0.3">
      <c r="A1628" t="s">
        <v>2827</v>
      </c>
      <c r="B1628" t="s">
        <v>3110</v>
      </c>
    </row>
    <row r="1629" spans="1:2" x14ac:dyDescent="0.3">
      <c r="A1629" t="s">
        <v>2827</v>
      </c>
      <c r="B1629" t="s">
        <v>3111</v>
      </c>
    </row>
    <row r="1630" spans="1:2" x14ac:dyDescent="0.3">
      <c r="A1630" t="s">
        <v>2827</v>
      </c>
      <c r="B1630" t="s">
        <v>3112</v>
      </c>
    </row>
    <row r="1631" spans="1:2" x14ac:dyDescent="0.3">
      <c r="A1631" t="s">
        <v>2827</v>
      </c>
      <c r="B1631" t="s">
        <v>3113</v>
      </c>
    </row>
    <row r="1632" spans="1:2" x14ac:dyDescent="0.3">
      <c r="A1632" t="s">
        <v>2827</v>
      </c>
      <c r="B1632" t="s">
        <v>3114</v>
      </c>
    </row>
    <row r="1633" spans="1:2" x14ac:dyDescent="0.3">
      <c r="A1633" t="s">
        <v>2827</v>
      </c>
      <c r="B1633" t="s">
        <v>3115</v>
      </c>
    </row>
    <row r="1634" spans="1:2" x14ac:dyDescent="0.3">
      <c r="A1634" t="s">
        <v>2827</v>
      </c>
      <c r="B1634" t="s">
        <v>3116</v>
      </c>
    </row>
    <row r="1635" spans="1:2" x14ac:dyDescent="0.3">
      <c r="A1635" t="s">
        <v>2827</v>
      </c>
      <c r="B1635" t="s">
        <v>3117</v>
      </c>
    </row>
    <row r="1636" spans="1:2" x14ac:dyDescent="0.3">
      <c r="A1636" t="s">
        <v>2827</v>
      </c>
      <c r="B1636" t="s">
        <v>3118</v>
      </c>
    </row>
    <row r="1637" spans="1:2" x14ac:dyDescent="0.3">
      <c r="A1637" t="s">
        <v>2827</v>
      </c>
      <c r="B1637" t="s">
        <v>3119</v>
      </c>
    </row>
    <row r="1638" spans="1:2" x14ac:dyDescent="0.3">
      <c r="A1638" t="s">
        <v>2827</v>
      </c>
      <c r="B1638" t="s">
        <v>3120</v>
      </c>
    </row>
    <row r="1639" spans="1:2" x14ac:dyDescent="0.3">
      <c r="A1639" t="s">
        <v>2827</v>
      </c>
      <c r="B1639" t="s">
        <v>3121</v>
      </c>
    </row>
    <row r="1640" spans="1:2" x14ac:dyDescent="0.3">
      <c r="A1640" t="s">
        <v>2827</v>
      </c>
      <c r="B1640" t="s">
        <v>3122</v>
      </c>
    </row>
    <row r="1641" spans="1:2" x14ac:dyDescent="0.3">
      <c r="A1641" t="s">
        <v>2827</v>
      </c>
      <c r="B1641" t="s">
        <v>3123</v>
      </c>
    </row>
    <row r="1642" spans="1:2" x14ac:dyDescent="0.3">
      <c r="A1642" t="s">
        <v>2827</v>
      </c>
      <c r="B1642" t="s">
        <v>3124</v>
      </c>
    </row>
    <row r="1643" spans="1:2" x14ac:dyDescent="0.3">
      <c r="A1643" t="s">
        <v>2827</v>
      </c>
      <c r="B1643" t="s">
        <v>3125</v>
      </c>
    </row>
    <row r="1644" spans="1:2" x14ac:dyDescent="0.3">
      <c r="A1644" t="s">
        <v>2827</v>
      </c>
      <c r="B1644" t="s">
        <v>3126</v>
      </c>
    </row>
    <row r="1645" spans="1:2" x14ac:dyDescent="0.3">
      <c r="A1645" t="s">
        <v>2827</v>
      </c>
      <c r="B1645" t="s">
        <v>3127</v>
      </c>
    </row>
    <row r="1646" spans="1:2" x14ac:dyDescent="0.3">
      <c r="A1646" t="s">
        <v>2827</v>
      </c>
      <c r="B1646" t="s">
        <v>3128</v>
      </c>
    </row>
    <row r="1647" spans="1:2" x14ac:dyDescent="0.3">
      <c r="A1647" t="s">
        <v>2827</v>
      </c>
      <c r="B1647" t="s">
        <v>3129</v>
      </c>
    </row>
    <row r="1648" spans="1:2" x14ac:dyDescent="0.3">
      <c r="A1648" t="s">
        <v>2827</v>
      </c>
      <c r="B1648" t="s">
        <v>3130</v>
      </c>
    </row>
    <row r="1649" spans="1:2" x14ac:dyDescent="0.3">
      <c r="A1649" t="s">
        <v>2827</v>
      </c>
      <c r="B1649" t="s">
        <v>3131</v>
      </c>
    </row>
    <row r="1650" spans="1:2" x14ac:dyDescent="0.3">
      <c r="A1650" t="s">
        <v>2827</v>
      </c>
      <c r="B1650" t="s">
        <v>3132</v>
      </c>
    </row>
    <row r="1651" spans="1:2" x14ac:dyDescent="0.3">
      <c r="A1651" t="s">
        <v>2827</v>
      </c>
      <c r="B1651" t="s">
        <v>3133</v>
      </c>
    </row>
    <row r="1652" spans="1:2" x14ac:dyDescent="0.3">
      <c r="A1652" t="s">
        <v>2827</v>
      </c>
      <c r="B1652" t="s">
        <v>3134</v>
      </c>
    </row>
    <row r="1653" spans="1:2" x14ac:dyDescent="0.3">
      <c r="A1653" t="s">
        <v>2827</v>
      </c>
      <c r="B1653" t="s">
        <v>3135</v>
      </c>
    </row>
    <row r="1654" spans="1:2" x14ac:dyDescent="0.3">
      <c r="A1654" t="s">
        <v>2827</v>
      </c>
      <c r="B1654" t="s">
        <v>3136</v>
      </c>
    </row>
    <row r="1655" spans="1:2" x14ac:dyDescent="0.3">
      <c r="A1655" t="s">
        <v>2827</v>
      </c>
      <c r="B1655" t="s">
        <v>3137</v>
      </c>
    </row>
    <row r="1656" spans="1:2" x14ac:dyDescent="0.3">
      <c r="A1656" t="s">
        <v>2827</v>
      </c>
      <c r="B1656" t="s">
        <v>3138</v>
      </c>
    </row>
    <row r="1657" spans="1:2" x14ac:dyDescent="0.3">
      <c r="A1657" t="s">
        <v>2827</v>
      </c>
      <c r="B1657" t="s">
        <v>3139</v>
      </c>
    </row>
    <row r="1658" spans="1:2" x14ac:dyDescent="0.3">
      <c r="A1658" t="s">
        <v>2827</v>
      </c>
      <c r="B1658" t="s">
        <v>3140</v>
      </c>
    </row>
    <row r="1659" spans="1:2" x14ac:dyDescent="0.3">
      <c r="A1659" t="s">
        <v>2827</v>
      </c>
      <c r="B1659" t="s">
        <v>3141</v>
      </c>
    </row>
    <row r="1660" spans="1:2" x14ac:dyDescent="0.3">
      <c r="A1660" t="s">
        <v>2827</v>
      </c>
      <c r="B1660" t="s">
        <v>3142</v>
      </c>
    </row>
    <row r="1661" spans="1:2" x14ac:dyDescent="0.3">
      <c r="A1661" t="s">
        <v>2827</v>
      </c>
      <c r="B1661" t="s">
        <v>1953</v>
      </c>
    </row>
    <row r="1662" spans="1:2" x14ac:dyDescent="0.3">
      <c r="A1662" t="s">
        <v>2827</v>
      </c>
      <c r="B1662" t="s">
        <v>3143</v>
      </c>
    </row>
    <row r="1663" spans="1:2" x14ac:dyDescent="0.3">
      <c r="A1663" t="s">
        <v>2827</v>
      </c>
      <c r="B1663" t="s">
        <v>3144</v>
      </c>
    </row>
    <row r="1664" spans="1:2" x14ac:dyDescent="0.3">
      <c r="A1664" t="s">
        <v>2827</v>
      </c>
      <c r="B1664" t="s">
        <v>3145</v>
      </c>
    </row>
    <row r="1665" spans="1:2" x14ac:dyDescent="0.3">
      <c r="A1665" t="s">
        <v>2827</v>
      </c>
      <c r="B1665" t="s">
        <v>3146</v>
      </c>
    </row>
    <row r="1666" spans="1:2" x14ac:dyDescent="0.3">
      <c r="A1666" t="s">
        <v>2827</v>
      </c>
      <c r="B1666" t="s">
        <v>3147</v>
      </c>
    </row>
    <row r="1667" spans="1:2" x14ac:dyDescent="0.3">
      <c r="A1667" t="s">
        <v>2827</v>
      </c>
      <c r="B1667" t="s">
        <v>3148</v>
      </c>
    </row>
    <row r="1668" spans="1:2" x14ac:dyDescent="0.3">
      <c r="A1668" t="s">
        <v>2827</v>
      </c>
      <c r="B1668" t="s">
        <v>3149</v>
      </c>
    </row>
    <row r="1669" spans="1:2" x14ac:dyDescent="0.3">
      <c r="A1669" t="s">
        <v>2827</v>
      </c>
      <c r="B1669" t="s">
        <v>3150</v>
      </c>
    </row>
    <row r="1670" spans="1:2" x14ac:dyDescent="0.3">
      <c r="A1670" t="s">
        <v>2827</v>
      </c>
      <c r="B1670" t="s">
        <v>3151</v>
      </c>
    </row>
    <row r="1671" spans="1:2" x14ac:dyDescent="0.3">
      <c r="A1671" t="s">
        <v>2827</v>
      </c>
      <c r="B1671" t="s">
        <v>3152</v>
      </c>
    </row>
    <row r="1672" spans="1:2" x14ac:dyDescent="0.3">
      <c r="A1672" t="s">
        <v>2827</v>
      </c>
      <c r="B1672" t="s">
        <v>3153</v>
      </c>
    </row>
    <row r="1673" spans="1:2" x14ac:dyDescent="0.3">
      <c r="A1673" t="s">
        <v>2827</v>
      </c>
      <c r="B1673" t="s">
        <v>3154</v>
      </c>
    </row>
    <row r="1674" spans="1:2" x14ac:dyDescent="0.3">
      <c r="A1674" t="s">
        <v>2827</v>
      </c>
      <c r="B1674" t="s">
        <v>3155</v>
      </c>
    </row>
    <row r="1675" spans="1:2" x14ac:dyDescent="0.3">
      <c r="A1675" t="s">
        <v>2827</v>
      </c>
      <c r="B1675" t="s">
        <v>3156</v>
      </c>
    </row>
    <row r="1676" spans="1:2" x14ac:dyDescent="0.3">
      <c r="A1676" t="s">
        <v>2827</v>
      </c>
      <c r="B1676" t="s">
        <v>3157</v>
      </c>
    </row>
    <row r="1677" spans="1:2" x14ac:dyDescent="0.3">
      <c r="A1677" t="s">
        <v>2827</v>
      </c>
      <c r="B1677" t="s">
        <v>3158</v>
      </c>
    </row>
    <row r="1678" spans="1:2" x14ac:dyDescent="0.3">
      <c r="A1678" t="s">
        <v>2827</v>
      </c>
      <c r="B1678" t="s">
        <v>3159</v>
      </c>
    </row>
    <row r="1679" spans="1:2" x14ac:dyDescent="0.3">
      <c r="A1679" t="s">
        <v>2827</v>
      </c>
      <c r="B1679" t="s">
        <v>3160</v>
      </c>
    </row>
    <row r="1680" spans="1:2" x14ac:dyDescent="0.3">
      <c r="A1680" t="s">
        <v>2827</v>
      </c>
      <c r="B1680" t="s">
        <v>3161</v>
      </c>
    </row>
    <row r="1681" spans="1:2" x14ac:dyDescent="0.3">
      <c r="A1681" t="s">
        <v>2827</v>
      </c>
      <c r="B1681" t="s">
        <v>3162</v>
      </c>
    </row>
    <row r="1682" spans="1:2" x14ac:dyDescent="0.3">
      <c r="A1682" t="s">
        <v>2827</v>
      </c>
      <c r="B1682" t="s">
        <v>3163</v>
      </c>
    </row>
    <row r="1683" spans="1:2" x14ac:dyDescent="0.3">
      <c r="A1683" t="s">
        <v>2827</v>
      </c>
      <c r="B1683" t="s">
        <v>3164</v>
      </c>
    </row>
    <row r="1684" spans="1:2" x14ac:dyDescent="0.3">
      <c r="A1684" t="s">
        <v>2827</v>
      </c>
      <c r="B1684" t="s">
        <v>3165</v>
      </c>
    </row>
    <row r="1685" spans="1:2" x14ac:dyDescent="0.3">
      <c r="A1685" t="s">
        <v>2827</v>
      </c>
      <c r="B1685" t="s">
        <v>3166</v>
      </c>
    </row>
    <row r="1686" spans="1:2" x14ac:dyDescent="0.3">
      <c r="A1686" t="s">
        <v>2827</v>
      </c>
      <c r="B1686" t="s">
        <v>3167</v>
      </c>
    </row>
    <row r="1687" spans="1:2" x14ac:dyDescent="0.3">
      <c r="A1687" t="s">
        <v>2827</v>
      </c>
      <c r="B1687" t="s">
        <v>3168</v>
      </c>
    </row>
    <row r="1688" spans="1:2" x14ac:dyDescent="0.3">
      <c r="A1688" t="s">
        <v>2827</v>
      </c>
      <c r="B1688" t="s">
        <v>3169</v>
      </c>
    </row>
    <row r="1689" spans="1:2" x14ac:dyDescent="0.3">
      <c r="A1689" t="s">
        <v>2827</v>
      </c>
      <c r="B1689" t="s">
        <v>3170</v>
      </c>
    </row>
    <row r="1690" spans="1:2" x14ac:dyDescent="0.3">
      <c r="A1690" t="s">
        <v>2827</v>
      </c>
      <c r="B1690" t="s">
        <v>3171</v>
      </c>
    </row>
    <row r="1691" spans="1:2" x14ac:dyDescent="0.3">
      <c r="A1691" t="s">
        <v>2827</v>
      </c>
      <c r="B1691" t="s">
        <v>3172</v>
      </c>
    </row>
    <row r="1692" spans="1:2" x14ac:dyDescent="0.3">
      <c r="A1692" t="s">
        <v>2827</v>
      </c>
      <c r="B1692" t="s">
        <v>3173</v>
      </c>
    </row>
    <row r="1693" spans="1:2" x14ac:dyDescent="0.3">
      <c r="A1693" t="s">
        <v>2827</v>
      </c>
      <c r="B1693" t="s">
        <v>3174</v>
      </c>
    </row>
    <row r="1694" spans="1:2" x14ac:dyDescent="0.3">
      <c r="A1694" t="s">
        <v>2827</v>
      </c>
      <c r="B1694" t="s">
        <v>3175</v>
      </c>
    </row>
    <row r="1695" spans="1:2" x14ac:dyDescent="0.3">
      <c r="A1695" t="s">
        <v>2827</v>
      </c>
      <c r="B1695" t="s">
        <v>3176</v>
      </c>
    </row>
    <row r="1696" spans="1:2" x14ac:dyDescent="0.3">
      <c r="A1696" t="s">
        <v>2827</v>
      </c>
      <c r="B1696" t="s">
        <v>3177</v>
      </c>
    </row>
    <row r="1697" spans="1:2" x14ac:dyDescent="0.3">
      <c r="A1697" t="s">
        <v>2827</v>
      </c>
      <c r="B1697" t="s">
        <v>3178</v>
      </c>
    </row>
    <row r="1698" spans="1:2" x14ac:dyDescent="0.3">
      <c r="A1698" t="s">
        <v>2827</v>
      </c>
      <c r="B1698" t="s">
        <v>3179</v>
      </c>
    </row>
    <row r="1699" spans="1:2" x14ac:dyDescent="0.3">
      <c r="A1699" t="s">
        <v>2827</v>
      </c>
      <c r="B1699" t="s">
        <v>3180</v>
      </c>
    </row>
    <row r="1700" spans="1:2" x14ac:dyDescent="0.3">
      <c r="A1700" t="s">
        <v>2827</v>
      </c>
      <c r="B1700" t="s">
        <v>3181</v>
      </c>
    </row>
    <row r="1701" spans="1:2" x14ac:dyDescent="0.3">
      <c r="A1701" t="s">
        <v>2827</v>
      </c>
      <c r="B1701" t="s">
        <v>3182</v>
      </c>
    </row>
    <row r="1702" spans="1:2" x14ac:dyDescent="0.3">
      <c r="A1702" t="s">
        <v>2827</v>
      </c>
      <c r="B1702" t="s">
        <v>3183</v>
      </c>
    </row>
    <row r="1703" spans="1:2" x14ac:dyDescent="0.3">
      <c r="A1703" t="s">
        <v>2827</v>
      </c>
      <c r="B1703" t="s">
        <v>3184</v>
      </c>
    </row>
    <row r="1704" spans="1:2" x14ac:dyDescent="0.3">
      <c r="A1704" t="s">
        <v>2827</v>
      </c>
      <c r="B1704" t="s">
        <v>3185</v>
      </c>
    </row>
    <row r="1705" spans="1:2" x14ac:dyDescent="0.3">
      <c r="A1705" t="s">
        <v>2827</v>
      </c>
      <c r="B1705" t="s">
        <v>3186</v>
      </c>
    </row>
    <row r="1706" spans="1:2" x14ac:dyDescent="0.3">
      <c r="A1706" t="s">
        <v>2827</v>
      </c>
      <c r="B1706" t="s">
        <v>3187</v>
      </c>
    </row>
    <row r="1707" spans="1:2" x14ac:dyDescent="0.3">
      <c r="A1707" t="s">
        <v>2827</v>
      </c>
      <c r="B1707" t="s">
        <v>3188</v>
      </c>
    </row>
    <row r="1708" spans="1:2" x14ac:dyDescent="0.3">
      <c r="A1708" t="s">
        <v>2827</v>
      </c>
      <c r="B1708" t="s">
        <v>3189</v>
      </c>
    </row>
    <row r="1709" spans="1:2" x14ac:dyDescent="0.3">
      <c r="A1709" t="s">
        <v>2827</v>
      </c>
      <c r="B1709" t="s">
        <v>3190</v>
      </c>
    </row>
    <row r="1710" spans="1:2" x14ac:dyDescent="0.3">
      <c r="A1710" t="s">
        <v>2827</v>
      </c>
      <c r="B1710" t="s">
        <v>3191</v>
      </c>
    </row>
    <row r="1711" spans="1:2" x14ac:dyDescent="0.3">
      <c r="A1711" t="s">
        <v>2827</v>
      </c>
      <c r="B1711" t="s">
        <v>3192</v>
      </c>
    </row>
    <row r="1712" spans="1:2" x14ac:dyDescent="0.3">
      <c r="A1712" t="s">
        <v>2827</v>
      </c>
      <c r="B1712" t="s">
        <v>3193</v>
      </c>
    </row>
    <row r="1713" spans="1:2" x14ac:dyDescent="0.3">
      <c r="A1713" t="s">
        <v>2827</v>
      </c>
      <c r="B1713" t="s">
        <v>3194</v>
      </c>
    </row>
    <row r="1714" spans="1:2" x14ac:dyDescent="0.3">
      <c r="A1714" t="s">
        <v>2827</v>
      </c>
      <c r="B1714" t="s">
        <v>3195</v>
      </c>
    </row>
    <row r="1715" spans="1:2" x14ac:dyDescent="0.3">
      <c r="A1715" t="s">
        <v>2827</v>
      </c>
      <c r="B1715" t="s">
        <v>3196</v>
      </c>
    </row>
    <row r="1716" spans="1:2" x14ac:dyDescent="0.3">
      <c r="A1716" t="s">
        <v>2827</v>
      </c>
      <c r="B1716" t="s">
        <v>3197</v>
      </c>
    </row>
    <row r="1717" spans="1:2" x14ac:dyDescent="0.3">
      <c r="A1717" t="s">
        <v>2827</v>
      </c>
      <c r="B1717" t="s">
        <v>3198</v>
      </c>
    </row>
    <row r="1718" spans="1:2" x14ac:dyDescent="0.3">
      <c r="A1718" t="s">
        <v>2827</v>
      </c>
      <c r="B1718" t="s">
        <v>3199</v>
      </c>
    </row>
    <row r="1719" spans="1:2" x14ac:dyDescent="0.3">
      <c r="A1719" t="s">
        <v>2827</v>
      </c>
      <c r="B1719" t="s">
        <v>3200</v>
      </c>
    </row>
    <row r="1720" spans="1:2" x14ac:dyDescent="0.3">
      <c r="A1720" t="s">
        <v>2827</v>
      </c>
      <c r="B1720" t="s">
        <v>3201</v>
      </c>
    </row>
    <row r="1721" spans="1:2" x14ac:dyDescent="0.3">
      <c r="A1721" t="s">
        <v>2827</v>
      </c>
      <c r="B1721" t="s">
        <v>3202</v>
      </c>
    </row>
    <row r="1722" spans="1:2" x14ac:dyDescent="0.3">
      <c r="A1722" t="s">
        <v>2827</v>
      </c>
      <c r="B1722" t="s">
        <v>3203</v>
      </c>
    </row>
    <row r="1723" spans="1:2" x14ac:dyDescent="0.3">
      <c r="A1723" t="s">
        <v>2827</v>
      </c>
      <c r="B1723" t="s">
        <v>3204</v>
      </c>
    </row>
    <row r="1724" spans="1:2" x14ac:dyDescent="0.3">
      <c r="A1724" t="s">
        <v>2827</v>
      </c>
      <c r="B1724" t="s">
        <v>3205</v>
      </c>
    </row>
    <row r="1725" spans="1:2" x14ac:dyDescent="0.3">
      <c r="A1725" t="s">
        <v>2827</v>
      </c>
      <c r="B1725" t="s">
        <v>3206</v>
      </c>
    </row>
    <row r="1726" spans="1:2" x14ac:dyDescent="0.3">
      <c r="A1726" t="s">
        <v>2827</v>
      </c>
      <c r="B1726" t="s">
        <v>3207</v>
      </c>
    </row>
    <row r="1727" spans="1:2" x14ac:dyDescent="0.3">
      <c r="A1727" t="s">
        <v>2827</v>
      </c>
      <c r="B1727" t="s">
        <v>3208</v>
      </c>
    </row>
    <row r="1728" spans="1:2" x14ac:dyDescent="0.3">
      <c r="A1728" t="s">
        <v>2827</v>
      </c>
      <c r="B1728" t="s">
        <v>3209</v>
      </c>
    </row>
    <row r="1729" spans="1:2" x14ac:dyDescent="0.3">
      <c r="A1729" t="s">
        <v>2827</v>
      </c>
      <c r="B1729" t="s">
        <v>3210</v>
      </c>
    </row>
    <row r="1730" spans="1:2" x14ac:dyDescent="0.3">
      <c r="A1730" t="s">
        <v>2827</v>
      </c>
      <c r="B1730" t="s">
        <v>3211</v>
      </c>
    </row>
    <row r="1731" spans="1:2" x14ac:dyDescent="0.3">
      <c r="A1731" t="s">
        <v>2827</v>
      </c>
      <c r="B1731" t="s">
        <v>3212</v>
      </c>
    </row>
    <row r="1732" spans="1:2" x14ac:dyDescent="0.3">
      <c r="A1732" t="s">
        <v>2827</v>
      </c>
      <c r="B1732" t="s">
        <v>3213</v>
      </c>
    </row>
    <row r="1733" spans="1:2" x14ac:dyDescent="0.3">
      <c r="A1733" t="s">
        <v>2827</v>
      </c>
      <c r="B1733" t="s">
        <v>3214</v>
      </c>
    </row>
    <row r="1734" spans="1:2" x14ac:dyDescent="0.3">
      <c r="A1734" t="s">
        <v>2827</v>
      </c>
      <c r="B1734" t="s">
        <v>3215</v>
      </c>
    </row>
    <row r="1735" spans="1:2" x14ac:dyDescent="0.3">
      <c r="A1735" t="s">
        <v>2827</v>
      </c>
      <c r="B1735" t="s">
        <v>3216</v>
      </c>
    </row>
    <row r="1736" spans="1:2" x14ac:dyDescent="0.3">
      <c r="A1736" t="s">
        <v>2827</v>
      </c>
      <c r="B1736" t="s">
        <v>3217</v>
      </c>
    </row>
    <row r="1737" spans="1:2" x14ac:dyDescent="0.3">
      <c r="A1737" t="s">
        <v>2827</v>
      </c>
      <c r="B1737" t="s">
        <v>3218</v>
      </c>
    </row>
    <row r="1738" spans="1:2" x14ac:dyDescent="0.3">
      <c r="A1738" t="s">
        <v>2827</v>
      </c>
      <c r="B1738" t="s">
        <v>3219</v>
      </c>
    </row>
    <row r="1739" spans="1:2" x14ac:dyDescent="0.3">
      <c r="A1739" t="s">
        <v>2827</v>
      </c>
      <c r="B1739" t="s">
        <v>3220</v>
      </c>
    </row>
    <row r="1740" spans="1:2" x14ac:dyDescent="0.3">
      <c r="A1740" t="s">
        <v>2827</v>
      </c>
      <c r="B1740" t="s">
        <v>3221</v>
      </c>
    </row>
    <row r="1741" spans="1:2" x14ac:dyDescent="0.3">
      <c r="A1741" t="s">
        <v>2827</v>
      </c>
      <c r="B1741" t="s">
        <v>3222</v>
      </c>
    </row>
    <row r="1742" spans="1:2" x14ac:dyDescent="0.3">
      <c r="A1742" t="s">
        <v>2827</v>
      </c>
      <c r="B1742" t="s">
        <v>3223</v>
      </c>
    </row>
    <row r="1743" spans="1:2" x14ac:dyDescent="0.3">
      <c r="A1743" t="s">
        <v>2827</v>
      </c>
      <c r="B1743" t="s">
        <v>2787</v>
      </c>
    </row>
    <row r="1744" spans="1:2" x14ac:dyDescent="0.3">
      <c r="A1744" t="s">
        <v>2827</v>
      </c>
      <c r="B1744" t="s">
        <v>3224</v>
      </c>
    </row>
    <row r="1745" spans="1:2" x14ac:dyDescent="0.3">
      <c r="A1745" t="s">
        <v>2827</v>
      </c>
      <c r="B1745" t="s">
        <v>3225</v>
      </c>
    </row>
    <row r="1746" spans="1:2" x14ac:dyDescent="0.3">
      <c r="A1746" t="s">
        <v>2827</v>
      </c>
      <c r="B1746" t="s">
        <v>3226</v>
      </c>
    </row>
    <row r="1747" spans="1:2" x14ac:dyDescent="0.3">
      <c r="A1747" t="s">
        <v>2827</v>
      </c>
      <c r="B1747" t="s">
        <v>3227</v>
      </c>
    </row>
    <row r="1748" spans="1:2" x14ac:dyDescent="0.3">
      <c r="A1748" t="s">
        <v>2827</v>
      </c>
      <c r="B1748" t="s">
        <v>3228</v>
      </c>
    </row>
    <row r="1749" spans="1:2" x14ac:dyDescent="0.3">
      <c r="A1749" t="s">
        <v>2827</v>
      </c>
      <c r="B1749" t="s">
        <v>3229</v>
      </c>
    </row>
    <row r="1750" spans="1:2" x14ac:dyDescent="0.3">
      <c r="A1750" t="s">
        <v>2827</v>
      </c>
      <c r="B1750" t="s">
        <v>3230</v>
      </c>
    </row>
    <row r="1751" spans="1:2" x14ac:dyDescent="0.3">
      <c r="A1751" t="s">
        <v>2827</v>
      </c>
      <c r="B1751" t="s">
        <v>3231</v>
      </c>
    </row>
    <row r="1752" spans="1:2" x14ac:dyDescent="0.3">
      <c r="A1752" t="s">
        <v>2827</v>
      </c>
      <c r="B1752" t="s">
        <v>3232</v>
      </c>
    </row>
    <row r="1753" spans="1:2" x14ac:dyDescent="0.3">
      <c r="A1753" t="s">
        <v>2827</v>
      </c>
      <c r="B1753" t="s">
        <v>3233</v>
      </c>
    </row>
    <row r="1754" spans="1:2" x14ac:dyDescent="0.3">
      <c r="A1754" t="s">
        <v>2827</v>
      </c>
      <c r="B1754" t="s">
        <v>3234</v>
      </c>
    </row>
    <row r="1755" spans="1:2" x14ac:dyDescent="0.3">
      <c r="A1755" t="s">
        <v>2827</v>
      </c>
      <c r="B1755" t="s">
        <v>3235</v>
      </c>
    </row>
    <row r="1756" spans="1:2" x14ac:dyDescent="0.3">
      <c r="A1756" t="s">
        <v>2827</v>
      </c>
      <c r="B1756" t="s">
        <v>3236</v>
      </c>
    </row>
    <row r="1757" spans="1:2" x14ac:dyDescent="0.3">
      <c r="A1757" t="s">
        <v>2827</v>
      </c>
      <c r="B1757" t="s">
        <v>3237</v>
      </c>
    </row>
    <row r="1758" spans="1:2" x14ac:dyDescent="0.3">
      <c r="A1758" t="s">
        <v>2827</v>
      </c>
      <c r="B1758" t="s">
        <v>3238</v>
      </c>
    </row>
    <row r="1759" spans="1:2" x14ac:dyDescent="0.3">
      <c r="A1759" t="s">
        <v>2827</v>
      </c>
      <c r="B1759" t="s">
        <v>3239</v>
      </c>
    </row>
    <row r="1760" spans="1:2" x14ac:dyDescent="0.3">
      <c r="A1760" t="s">
        <v>2827</v>
      </c>
      <c r="B1760" t="s">
        <v>3240</v>
      </c>
    </row>
    <row r="1761" spans="1:2" x14ac:dyDescent="0.3">
      <c r="A1761" t="s">
        <v>2827</v>
      </c>
      <c r="B1761" t="s">
        <v>2509</v>
      </c>
    </row>
    <row r="1762" spans="1:2" x14ac:dyDescent="0.3">
      <c r="A1762" t="s">
        <v>2827</v>
      </c>
      <c r="B1762" t="s">
        <v>3241</v>
      </c>
    </row>
    <row r="1763" spans="1:2" x14ac:dyDescent="0.3">
      <c r="A1763" t="s">
        <v>2827</v>
      </c>
      <c r="B1763" t="s">
        <v>3242</v>
      </c>
    </row>
    <row r="1764" spans="1:2" x14ac:dyDescent="0.3">
      <c r="A1764" t="s">
        <v>2827</v>
      </c>
      <c r="B1764" t="s">
        <v>3243</v>
      </c>
    </row>
    <row r="1765" spans="1:2" x14ac:dyDescent="0.3">
      <c r="A1765" t="s">
        <v>2827</v>
      </c>
      <c r="B1765" t="s">
        <v>3244</v>
      </c>
    </row>
    <row r="1766" spans="1:2" x14ac:dyDescent="0.3">
      <c r="A1766" t="s">
        <v>2827</v>
      </c>
      <c r="B1766" t="s">
        <v>3245</v>
      </c>
    </row>
    <row r="1767" spans="1:2" x14ac:dyDescent="0.3">
      <c r="A1767" t="s">
        <v>2827</v>
      </c>
      <c r="B1767" t="s">
        <v>3246</v>
      </c>
    </row>
    <row r="1768" spans="1:2" x14ac:dyDescent="0.3">
      <c r="A1768" t="s">
        <v>2827</v>
      </c>
      <c r="B1768" t="s">
        <v>3247</v>
      </c>
    </row>
    <row r="1769" spans="1:2" x14ac:dyDescent="0.3">
      <c r="A1769" t="s">
        <v>2827</v>
      </c>
      <c r="B1769" t="s">
        <v>3248</v>
      </c>
    </row>
    <row r="1770" spans="1:2" x14ac:dyDescent="0.3">
      <c r="A1770" t="s">
        <v>2827</v>
      </c>
      <c r="B1770" t="s">
        <v>3249</v>
      </c>
    </row>
    <row r="1771" spans="1:2" x14ac:dyDescent="0.3">
      <c r="A1771" t="s">
        <v>2827</v>
      </c>
      <c r="B1771" t="s">
        <v>3250</v>
      </c>
    </row>
    <row r="1772" spans="1:2" x14ac:dyDescent="0.3">
      <c r="A1772" t="s">
        <v>2827</v>
      </c>
      <c r="B1772" t="s">
        <v>3251</v>
      </c>
    </row>
    <row r="1773" spans="1:2" x14ac:dyDescent="0.3">
      <c r="A1773" t="s">
        <v>2827</v>
      </c>
      <c r="B1773" t="s">
        <v>3252</v>
      </c>
    </row>
    <row r="1774" spans="1:2" x14ac:dyDescent="0.3">
      <c r="A1774" t="s">
        <v>2827</v>
      </c>
      <c r="B1774" t="s">
        <v>3253</v>
      </c>
    </row>
    <row r="1775" spans="1:2" x14ac:dyDescent="0.3">
      <c r="A1775" t="s">
        <v>2827</v>
      </c>
      <c r="B1775" t="s">
        <v>3254</v>
      </c>
    </row>
    <row r="1776" spans="1:2" x14ac:dyDescent="0.3">
      <c r="A1776" t="s">
        <v>2827</v>
      </c>
      <c r="B1776" t="s">
        <v>3255</v>
      </c>
    </row>
    <row r="1777" spans="1:2" x14ac:dyDescent="0.3">
      <c r="A1777" t="s">
        <v>2827</v>
      </c>
      <c r="B1777" t="s">
        <v>3256</v>
      </c>
    </row>
    <row r="1778" spans="1:2" x14ac:dyDescent="0.3">
      <c r="A1778" t="s">
        <v>2827</v>
      </c>
      <c r="B1778" t="s">
        <v>3257</v>
      </c>
    </row>
    <row r="1779" spans="1:2" x14ac:dyDescent="0.3">
      <c r="A1779" t="s">
        <v>2827</v>
      </c>
      <c r="B1779" t="s">
        <v>2519</v>
      </c>
    </row>
    <row r="1780" spans="1:2" x14ac:dyDescent="0.3">
      <c r="A1780" t="s">
        <v>2827</v>
      </c>
      <c r="B1780" t="s">
        <v>3258</v>
      </c>
    </row>
    <row r="1781" spans="1:2" x14ac:dyDescent="0.3">
      <c r="A1781" t="s">
        <v>2827</v>
      </c>
      <c r="B1781" t="s">
        <v>3259</v>
      </c>
    </row>
    <row r="1782" spans="1:2" x14ac:dyDescent="0.3">
      <c r="A1782" t="s">
        <v>2827</v>
      </c>
      <c r="B1782" t="s">
        <v>3260</v>
      </c>
    </row>
    <row r="1783" spans="1:2" x14ac:dyDescent="0.3">
      <c r="A1783" t="s">
        <v>2827</v>
      </c>
      <c r="B1783" t="s">
        <v>3261</v>
      </c>
    </row>
    <row r="1784" spans="1:2" x14ac:dyDescent="0.3">
      <c r="A1784" t="s">
        <v>2827</v>
      </c>
      <c r="B1784" t="s">
        <v>3262</v>
      </c>
    </row>
    <row r="1785" spans="1:2" x14ac:dyDescent="0.3">
      <c r="A1785" t="s">
        <v>2827</v>
      </c>
      <c r="B1785" t="s">
        <v>3263</v>
      </c>
    </row>
    <row r="1786" spans="1:2" x14ac:dyDescent="0.3">
      <c r="A1786" t="s">
        <v>2827</v>
      </c>
      <c r="B1786" t="s">
        <v>3264</v>
      </c>
    </row>
    <row r="1787" spans="1:2" x14ac:dyDescent="0.3">
      <c r="A1787" t="s">
        <v>2827</v>
      </c>
      <c r="B1787" t="s">
        <v>3265</v>
      </c>
    </row>
    <row r="1788" spans="1:2" x14ac:dyDescent="0.3">
      <c r="A1788" t="s">
        <v>2827</v>
      </c>
      <c r="B1788" t="s">
        <v>3266</v>
      </c>
    </row>
    <row r="1789" spans="1:2" x14ac:dyDescent="0.3">
      <c r="A1789" t="s">
        <v>2827</v>
      </c>
      <c r="B1789" t="s">
        <v>3267</v>
      </c>
    </row>
    <row r="1790" spans="1:2" x14ac:dyDescent="0.3">
      <c r="A1790" t="s">
        <v>2827</v>
      </c>
      <c r="B1790" t="s">
        <v>3268</v>
      </c>
    </row>
    <row r="1791" spans="1:2" x14ac:dyDescent="0.3">
      <c r="A1791" t="s">
        <v>2827</v>
      </c>
      <c r="B1791" t="s">
        <v>3269</v>
      </c>
    </row>
    <row r="1792" spans="1:2" x14ac:dyDescent="0.3">
      <c r="A1792" t="s">
        <v>2827</v>
      </c>
      <c r="B1792" t="s">
        <v>3270</v>
      </c>
    </row>
    <row r="1793" spans="1:2" x14ac:dyDescent="0.3">
      <c r="A1793" t="s">
        <v>2827</v>
      </c>
      <c r="B1793" t="s">
        <v>3271</v>
      </c>
    </row>
    <row r="1794" spans="1:2" x14ac:dyDescent="0.3">
      <c r="A1794" t="s">
        <v>2827</v>
      </c>
      <c r="B1794" t="s">
        <v>3272</v>
      </c>
    </row>
    <row r="1795" spans="1:2" x14ac:dyDescent="0.3">
      <c r="A1795" t="s">
        <v>2827</v>
      </c>
      <c r="B1795" t="s">
        <v>3273</v>
      </c>
    </row>
    <row r="1796" spans="1:2" x14ac:dyDescent="0.3">
      <c r="A1796" t="s">
        <v>2827</v>
      </c>
      <c r="B1796" t="s">
        <v>3274</v>
      </c>
    </row>
    <row r="1797" spans="1:2" x14ac:dyDescent="0.3">
      <c r="A1797" t="s">
        <v>2827</v>
      </c>
      <c r="B1797" t="s">
        <v>3275</v>
      </c>
    </row>
    <row r="1798" spans="1:2" x14ac:dyDescent="0.3">
      <c r="A1798" t="s">
        <v>2827</v>
      </c>
      <c r="B1798" t="s">
        <v>3276</v>
      </c>
    </row>
    <row r="1799" spans="1:2" x14ac:dyDescent="0.3">
      <c r="A1799" t="s">
        <v>2827</v>
      </c>
      <c r="B1799" t="s">
        <v>3277</v>
      </c>
    </row>
    <row r="1800" spans="1:2" x14ac:dyDescent="0.3">
      <c r="A1800" t="s">
        <v>2827</v>
      </c>
      <c r="B1800" t="s">
        <v>3278</v>
      </c>
    </row>
    <row r="1801" spans="1:2" x14ac:dyDescent="0.3">
      <c r="A1801" t="s">
        <v>2827</v>
      </c>
      <c r="B1801" t="s">
        <v>3279</v>
      </c>
    </row>
    <row r="1802" spans="1:2" x14ac:dyDescent="0.3">
      <c r="A1802" t="s">
        <v>2827</v>
      </c>
      <c r="B1802" t="s">
        <v>3280</v>
      </c>
    </row>
    <row r="1803" spans="1:2" x14ac:dyDescent="0.3">
      <c r="A1803" t="s">
        <v>2827</v>
      </c>
      <c r="B1803" t="s">
        <v>3281</v>
      </c>
    </row>
    <row r="1804" spans="1:2" x14ac:dyDescent="0.3">
      <c r="A1804" t="s">
        <v>2827</v>
      </c>
      <c r="B1804" t="s">
        <v>3282</v>
      </c>
    </row>
    <row r="1805" spans="1:2" x14ac:dyDescent="0.3">
      <c r="A1805" t="s">
        <v>2827</v>
      </c>
      <c r="B1805" t="s">
        <v>3283</v>
      </c>
    </row>
    <row r="1806" spans="1:2" x14ac:dyDescent="0.3">
      <c r="A1806" t="s">
        <v>2827</v>
      </c>
      <c r="B1806" t="s">
        <v>3284</v>
      </c>
    </row>
    <row r="1807" spans="1:2" x14ac:dyDescent="0.3">
      <c r="A1807" t="s">
        <v>2827</v>
      </c>
      <c r="B1807" t="s">
        <v>3285</v>
      </c>
    </row>
    <row r="1808" spans="1:2" x14ac:dyDescent="0.3">
      <c r="A1808" t="s">
        <v>2827</v>
      </c>
      <c r="B1808" t="s">
        <v>3286</v>
      </c>
    </row>
    <row r="1809" spans="1:2" x14ac:dyDescent="0.3">
      <c r="A1809" t="s">
        <v>2827</v>
      </c>
      <c r="B1809" t="s">
        <v>3287</v>
      </c>
    </row>
    <row r="1810" spans="1:2" x14ac:dyDescent="0.3">
      <c r="A1810" t="s">
        <v>2827</v>
      </c>
      <c r="B1810" t="s">
        <v>3288</v>
      </c>
    </row>
    <row r="1811" spans="1:2" x14ac:dyDescent="0.3">
      <c r="A1811" t="s">
        <v>2827</v>
      </c>
      <c r="B1811" t="s">
        <v>3289</v>
      </c>
    </row>
    <row r="1812" spans="1:2" x14ac:dyDescent="0.3">
      <c r="A1812" t="s">
        <v>2827</v>
      </c>
      <c r="B1812" t="s">
        <v>3290</v>
      </c>
    </row>
    <row r="1813" spans="1:2" x14ac:dyDescent="0.3">
      <c r="A1813" t="s">
        <v>2827</v>
      </c>
      <c r="B1813" t="s">
        <v>3291</v>
      </c>
    </row>
    <row r="1814" spans="1:2" x14ac:dyDescent="0.3">
      <c r="A1814" t="s">
        <v>2827</v>
      </c>
      <c r="B1814" t="s">
        <v>3292</v>
      </c>
    </row>
    <row r="1815" spans="1:2" x14ac:dyDescent="0.3">
      <c r="A1815" t="s">
        <v>2827</v>
      </c>
      <c r="B1815" t="s">
        <v>3293</v>
      </c>
    </row>
    <row r="1816" spans="1:2" x14ac:dyDescent="0.3">
      <c r="A1816" t="s">
        <v>2827</v>
      </c>
      <c r="B1816" t="s">
        <v>3294</v>
      </c>
    </row>
    <row r="1817" spans="1:2" x14ac:dyDescent="0.3">
      <c r="A1817" t="s">
        <v>2827</v>
      </c>
      <c r="B1817" t="s">
        <v>3295</v>
      </c>
    </row>
    <row r="1818" spans="1:2" x14ac:dyDescent="0.3">
      <c r="A1818" t="s">
        <v>2827</v>
      </c>
      <c r="B1818" t="s">
        <v>3296</v>
      </c>
    </row>
    <row r="1819" spans="1:2" x14ac:dyDescent="0.3">
      <c r="A1819" t="s">
        <v>2827</v>
      </c>
      <c r="B1819" t="s">
        <v>3297</v>
      </c>
    </row>
    <row r="1820" spans="1:2" x14ac:dyDescent="0.3">
      <c r="A1820" t="s">
        <v>2827</v>
      </c>
      <c r="B1820" t="s">
        <v>3298</v>
      </c>
    </row>
    <row r="1821" spans="1:2" x14ac:dyDescent="0.3">
      <c r="A1821" t="s">
        <v>2827</v>
      </c>
      <c r="B1821" t="s">
        <v>2146</v>
      </c>
    </row>
    <row r="1822" spans="1:2" x14ac:dyDescent="0.3">
      <c r="A1822" t="s">
        <v>2827</v>
      </c>
      <c r="B1822" t="s">
        <v>3299</v>
      </c>
    </row>
    <row r="1823" spans="1:2" x14ac:dyDescent="0.3">
      <c r="A1823" t="s">
        <v>2827</v>
      </c>
      <c r="B1823" t="s">
        <v>3300</v>
      </c>
    </row>
    <row r="1824" spans="1:2" x14ac:dyDescent="0.3">
      <c r="A1824" t="s">
        <v>2827</v>
      </c>
      <c r="B1824" t="s">
        <v>3301</v>
      </c>
    </row>
    <row r="1825" spans="1:2" x14ac:dyDescent="0.3">
      <c r="A1825" t="s">
        <v>2827</v>
      </c>
      <c r="B1825" t="s">
        <v>3302</v>
      </c>
    </row>
    <row r="1826" spans="1:2" x14ac:dyDescent="0.3">
      <c r="A1826" t="s">
        <v>2827</v>
      </c>
      <c r="B1826" t="s">
        <v>3303</v>
      </c>
    </row>
    <row r="1827" spans="1:2" x14ac:dyDescent="0.3">
      <c r="A1827" t="s">
        <v>2827</v>
      </c>
      <c r="B1827" t="s">
        <v>3304</v>
      </c>
    </row>
    <row r="1828" spans="1:2" x14ac:dyDescent="0.3">
      <c r="A1828" t="s">
        <v>2827</v>
      </c>
      <c r="B1828" t="s">
        <v>3305</v>
      </c>
    </row>
    <row r="1829" spans="1:2" x14ac:dyDescent="0.3">
      <c r="A1829" t="s">
        <v>2827</v>
      </c>
      <c r="B1829" t="s">
        <v>3306</v>
      </c>
    </row>
    <row r="1830" spans="1:2" x14ac:dyDescent="0.3">
      <c r="A1830" t="s">
        <v>2827</v>
      </c>
      <c r="B1830" t="s">
        <v>3307</v>
      </c>
    </row>
    <row r="1831" spans="1:2" x14ac:dyDescent="0.3">
      <c r="A1831" t="s">
        <v>2827</v>
      </c>
      <c r="B1831" t="s">
        <v>3308</v>
      </c>
    </row>
    <row r="1832" spans="1:2" x14ac:dyDescent="0.3">
      <c r="A1832" t="s">
        <v>2827</v>
      </c>
      <c r="B1832" t="s">
        <v>3309</v>
      </c>
    </row>
    <row r="1833" spans="1:2" x14ac:dyDescent="0.3">
      <c r="A1833" t="s">
        <v>2827</v>
      </c>
      <c r="B1833" t="s">
        <v>3310</v>
      </c>
    </row>
    <row r="1834" spans="1:2" x14ac:dyDescent="0.3">
      <c r="A1834" t="s">
        <v>2827</v>
      </c>
      <c r="B1834" t="s">
        <v>3311</v>
      </c>
    </row>
    <row r="1835" spans="1:2" x14ac:dyDescent="0.3">
      <c r="A1835" t="s">
        <v>2827</v>
      </c>
      <c r="B1835" t="s">
        <v>3312</v>
      </c>
    </row>
    <row r="1836" spans="1:2" x14ac:dyDescent="0.3">
      <c r="A1836" t="s">
        <v>2827</v>
      </c>
      <c r="B1836" t="s">
        <v>3313</v>
      </c>
    </row>
    <row r="1837" spans="1:2" x14ac:dyDescent="0.3">
      <c r="A1837" t="s">
        <v>2827</v>
      </c>
      <c r="B1837" t="s">
        <v>3314</v>
      </c>
    </row>
    <row r="1838" spans="1:2" x14ac:dyDescent="0.3">
      <c r="A1838" t="s">
        <v>3315</v>
      </c>
      <c r="B1838" t="s">
        <v>3316</v>
      </c>
    </row>
    <row r="1839" spans="1:2" x14ac:dyDescent="0.3">
      <c r="A1839" t="s">
        <v>3315</v>
      </c>
      <c r="B1839" t="s">
        <v>3317</v>
      </c>
    </row>
    <row r="1840" spans="1:2" x14ac:dyDescent="0.3">
      <c r="A1840" t="s">
        <v>3315</v>
      </c>
      <c r="B1840" t="s">
        <v>3318</v>
      </c>
    </row>
    <row r="1841" spans="1:2" x14ac:dyDescent="0.3">
      <c r="A1841" t="s">
        <v>3315</v>
      </c>
      <c r="B1841" t="s">
        <v>3319</v>
      </c>
    </row>
    <row r="1842" spans="1:2" x14ac:dyDescent="0.3">
      <c r="A1842" t="s">
        <v>3315</v>
      </c>
      <c r="B1842" t="s">
        <v>3320</v>
      </c>
    </row>
    <row r="1843" spans="1:2" x14ac:dyDescent="0.3">
      <c r="A1843" t="s">
        <v>3315</v>
      </c>
      <c r="B1843" t="s">
        <v>3321</v>
      </c>
    </row>
    <row r="1844" spans="1:2" x14ac:dyDescent="0.3">
      <c r="A1844" t="s">
        <v>3315</v>
      </c>
      <c r="B1844" t="s">
        <v>3322</v>
      </c>
    </row>
    <row r="1845" spans="1:2" x14ac:dyDescent="0.3">
      <c r="A1845" t="s">
        <v>3315</v>
      </c>
      <c r="B1845" t="s">
        <v>3323</v>
      </c>
    </row>
    <row r="1846" spans="1:2" x14ac:dyDescent="0.3">
      <c r="A1846" t="s">
        <v>3315</v>
      </c>
      <c r="B1846" t="s">
        <v>3324</v>
      </c>
    </row>
    <row r="1847" spans="1:2" x14ac:dyDescent="0.3">
      <c r="A1847" t="s">
        <v>3315</v>
      </c>
      <c r="B1847" t="s">
        <v>3325</v>
      </c>
    </row>
    <row r="1848" spans="1:2" x14ac:dyDescent="0.3">
      <c r="A1848" t="s">
        <v>3315</v>
      </c>
      <c r="B1848" t="s">
        <v>2185</v>
      </c>
    </row>
    <row r="1849" spans="1:2" x14ac:dyDescent="0.3">
      <c r="A1849" t="s">
        <v>3315</v>
      </c>
      <c r="B1849" t="s">
        <v>3326</v>
      </c>
    </row>
    <row r="1850" spans="1:2" x14ac:dyDescent="0.3">
      <c r="A1850" t="s">
        <v>3315</v>
      </c>
      <c r="B1850" t="s">
        <v>3327</v>
      </c>
    </row>
    <row r="1851" spans="1:2" x14ac:dyDescent="0.3">
      <c r="A1851" t="s">
        <v>3315</v>
      </c>
      <c r="B1851" t="s">
        <v>3328</v>
      </c>
    </row>
    <row r="1852" spans="1:2" x14ac:dyDescent="0.3">
      <c r="A1852" t="s">
        <v>3315</v>
      </c>
      <c r="B1852" t="s">
        <v>3329</v>
      </c>
    </row>
    <row r="1853" spans="1:2" x14ac:dyDescent="0.3">
      <c r="A1853" t="s">
        <v>3315</v>
      </c>
      <c r="B1853" t="s">
        <v>3330</v>
      </c>
    </row>
    <row r="1854" spans="1:2" x14ac:dyDescent="0.3">
      <c r="A1854" t="s">
        <v>3315</v>
      </c>
      <c r="B1854" t="s">
        <v>3331</v>
      </c>
    </row>
    <row r="1855" spans="1:2" x14ac:dyDescent="0.3">
      <c r="A1855" t="s">
        <v>3315</v>
      </c>
      <c r="B1855" t="s">
        <v>3332</v>
      </c>
    </row>
    <row r="1856" spans="1:2" x14ac:dyDescent="0.3">
      <c r="A1856" t="s">
        <v>3315</v>
      </c>
      <c r="B1856" t="s">
        <v>3333</v>
      </c>
    </row>
    <row r="1857" spans="1:2" x14ac:dyDescent="0.3">
      <c r="A1857" t="s">
        <v>3315</v>
      </c>
      <c r="B1857" t="s">
        <v>3334</v>
      </c>
    </row>
    <row r="1858" spans="1:2" x14ac:dyDescent="0.3">
      <c r="A1858" t="s">
        <v>3315</v>
      </c>
      <c r="B1858" t="s">
        <v>3335</v>
      </c>
    </row>
    <row r="1859" spans="1:2" x14ac:dyDescent="0.3">
      <c r="A1859" t="s">
        <v>3315</v>
      </c>
      <c r="B1859" t="s">
        <v>3336</v>
      </c>
    </row>
    <row r="1860" spans="1:2" x14ac:dyDescent="0.3">
      <c r="A1860" t="s">
        <v>3315</v>
      </c>
      <c r="B1860" t="s">
        <v>3337</v>
      </c>
    </row>
    <row r="1861" spans="1:2" x14ac:dyDescent="0.3">
      <c r="A1861" t="s">
        <v>3315</v>
      </c>
      <c r="B1861" t="s">
        <v>3338</v>
      </c>
    </row>
    <row r="1862" spans="1:2" x14ac:dyDescent="0.3">
      <c r="A1862" t="s">
        <v>3315</v>
      </c>
      <c r="B1862" t="s">
        <v>3339</v>
      </c>
    </row>
    <row r="1863" spans="1:2" x14ac:dyDescent="0.3">
      <c r="A1863" t="s">
        <v>3315</v>
      </c>
      <c r="B1863" t="s">
        <v>3340</v>
      </c>
    </row>
    <row r="1864" spans="1:2" x14ac:dyDescent="0.3">
      <c r="A1864" t="s">
        <v>3315</v>
      </c>
      <c r="B1864" t="s">
        <v>3341</v>
      </c>
    </row>
    <row r="1865" spans="1:2" x14ac:dyDescent="0.3">
      <c r="A1865" t="s">
        <v>3315</v>
      </c>
      <c r="B1865" t="s">
        <v>3342</v>
      </c>
    </row>
    <row r="1866" spans="1:2" x14ac:dyDescent="0.3">
      <c r="A1866" t="s">
        <v>3315</v>
      </c>
      <c r="B1866" t="s">
        <v>3343</v>
      </c>
    </row>
    <row r="1867" spans="1:2" x14ac:dyDescent="0.3">
      <c r="A1867" t="s">
        <v>3315</v>
      </c>
      <c r="B1867" t="s">
        <v>3344</v>
      </c>
    </row>
    <row r="1868" spans="1:2" x14ac:dyDescent="0.3">
      <c r="A1868" t="s">
        <v>3315</v>
      </c>
      <c r="B1868" t="s">
        <v>2255</v>
      </c>
    </row>
    <row r="1869" spans="1:2" x14ac:dyDescent="0.3">
      <c r="A1869" t="s">
        <v>3315</v>
      </c>
      <c r="B1869" t="s">
        <v>3345</v>
      </c>
    </row>
    <row r="1870" spans="1:2" x14ac:dyDescent="0.3">
      <c r="A1870" t="s">
        <v>3315</v>
      </c>
      <c r="B1870" t="s">
        <v>1674</v>
      </c>
    </row>
    <row r="1871" spans="1:2" x14ac:dyDescent="0.3">
      <c r="A1871" t="s">
        <v>3315</v>
      </c>
      <c r="B1871" t="s">
        <v>3346</v>
      </c>
    </row>
    <row r="1872" spans="1:2" x14ac:dyDescent="0.3">
      <c r="A1872" t="s">
        <v>3315</v>
      </c>
      <c r="B1872" t="s">
        <v>3347</v>
      </c>
    </row>
    <row r="1873" spans="1:2" x14ac:dyDescent="0.3">
      <c r="A1873" t="s">
        <v>3315</v>
      </c>
      <c r="B1873" t="s">
        <v>3348</v>
      </c>
    </row>
    <row r="1874" spans="1:2" x14ac:dyDescent="0.3">
      <c r="A1874" t="s">
        <v>3315</v>
      </c>
      <c r="B1874" t="s">
        <v>3349</v>
      </c>
    </row>
    <row r="1875" spans="1:2" x14ac:dyDescent="0.3">
      <c r="A1875" t="s">
        <v>3315</v>
      </c>
      <c r="B1875" t="s">
        <v>3350</v>
      </c>
    </row>
    <row r="1876" spans="1:2" x14ac:dyDescent="0.3">
      <c r="A1876" t="s">
        <v>3315</v>
      </c>
      <c r="B1876" t="s">
        <v>3351</v>
      </c>
    </row>
    <row r="1877" spans="1:2" x14ac:dyDescent="0.3">
      <c r="A1877" t="s">
        <v>3315</v>
      </c>
      <c r="B1877" t="s">
        <v>3352</v>
      </c>
    </row>
    <row r="1878" spans="1:2" x14ac:dyDescent="0.3">
      <c r="A1878" t="s">
        <v>3315</v>
      </c>
      <c r="B1878" t="s">
        <v>3353</v>
      </c>
    </row>
    <row r="1879" spans="1:2" x14ac:dyDescent="0.3">
      <c r="A1879" t="s">
        <v>3315</v>
      </c>
      <c r="B1879" t="s">
        <v>3354</v>
      </c>
    </row>
    <row r="1880" spans="1:2" x14ac:dyDescent="0.3">
      <c r="A1880" t="s">
        <v>3315</v>
      </c>
      <c r="B1880" t="s">
        <v>3355</v>
      </c>
    </row>
    <row r="1881" spans="1:2" x14ac:dyDescent="0.3">
      <c r="A1881" t="s">
        <v>3315</v>
      </c>
      <c r="B1881" t="s">
        <v>3356</v>
      </c>
    </row>
    <row r="1882" spans="1:2" x14ac:dyDescent="0.3">
      <c r="A1882" t="s">
        <v>3315</v>
      </c>
      <c r="B1882" t="s">
        <v>3357</v>
      </c>
    </row>
    <row r="1883" spans="1:2" x14ac:dyDescent="0.3">
      <c r="A1883" t="s">
        <v>3315</v>
      </c>
      <c r="B1883" t="s">
        <v>3358</v>
      </c>
    </row>
    <row r="1884" spans="1:2" x14ac:dyDescent="0.3">
      <c r="A1884" t="s">
        <v>3315</v>
      </c>
      <c r="B1884" t="s">
        <v>3359</v>
      </c>
    </row>
    <row r="1885" spans="1:2" x14ac:dyDescent="0.3">
      <c r="A1885" t="s">
        <v>3315</v>
      </c>
      <c r="B1885" t="s">
        <v>3360</v>
      </c>
    </row>
    <row r="1886" spans="1:2" x14ac:dyDescent="0.3">
      <c r="A1886" t="s">
        <v>3315</v>
      </c>
      <c r="B1886" t="s">
        <v>3361</v>
      </c>
    </row>
    <row r="1887" spans="1:2" x14ac:dyDescent="0.3">
      <c r="A1887" t="s">
        <v>3315</v>
      </c>
      <c r="B1887" t="s">
        <v>3362</v>
      </c>
    </row>
    <row r="1888" spans="1:2" x14ac:dyDescent="0.3">
      <c r="A1888" t="s">
        <v>3315</v>
      </c>
      <c r="B1888" t="s">
        <v>3363</v>
      </c>
    </row>
    <row r="1889" spans="1:2" x14ac:dyDescent="0.3">
      <c r="A1889" t="s">
        <v>3315</v>
      </c>
      <c r="B1889" t="s">
        <v>3364</v>
      </c>
    </row>
    <row r="1890" spans="1:2" x14ac:dyDescent="0.3">
      <c r="A1890" t="s">
        <v>3315</v>
      </c>
      <c r="B1890" t="s">
        <v>3365</v>
      </c>
    </row>
    <row r="1891" spans="1:2" x14ac:dyDescent="0.3">
      <c r="A1891" t="s">
        <v>3315</v>
      </c>
      <c r="B1891" t="s">
        <v>3366</v>
      </c>
    </row>
    <row r="1892" spans="1:2" x14ac:dyDescent="0.3">
      <c r="A1892" t="s">
        <v>3315</v>
      </c>
      <c r="B1892" t="s">
        <v>3367</v>
      </c>
    </row>
    <row r="1893" spans="1:2" x14ac:dyDescent="0.3">
      <c r="A1893" t="s">
        <v>3315</v>
      </c>
      <c r="B1893" t="s">
        <v>3368</v>
      </c>
    </row>
    <row r="1894" spans="1:2" x14ac:dyDescent="0.3">
      <c r="A1894" t="s">
        <v>3315</v>
      </c>
      <c r="B1894" t="s">
        <v>3369</v>
      </c>
    </row>
    <row r="1895" spans="1:2" x14ac:dyDescent="0.3">
      <c r="A1895" t="s">
        <v>3315</v>
      </c>
      <c r="B1895" t="s">
        <v>3370</v>
      </c>
    </row>
    <row r="1896" spans="1:2" x14ac:dyDescent="0.3">
      <c r="A1896" t="s">
        <v>3315</v>
      </c>
      <c r="B1896" t="s">
        <v>3371</v>
      </c>
    </row>
    <row r="1897" spans="1:2" x14ac:dyDescent="0.3">
      <c r="A1897" t="s">
        <v>3315</v>
      </c>
      <c r="B1897" t="s">
        <v>3372</v>
      </c>
    </row>
    <row r="1898" spans="1:2" x14ac:dyDescent="0.3">
      <c r="A1898" t="s">
        <v>3315</v>
      </c>
      <c r="B1898" t="s">
        <v>3373</v>
      </c>
    </row>
    <row r="1899" spans="1:2" x14ac:dyDescent="0.3">
      <c r="A1899" t="s">
        <v>3315</v>
      </c>
      <c r="B1899" t="s">
        <v>3374</v>
      </c>
    </row>
    <row r="1900" spans="1:2" x14ac:dyDescent="0.3">
      <c r="A1900" t="s">
        <v>3315</v>
      </c>
      <c r="B1900" t="s">
        <v>3375</v>
      </c>
    </row>
    <row r="1901" spans="1:2" x14ac:dyDescent="0.3">
      <c r="A1901" t="s">
        <v>3315</v>
      </c>
      <c r="B1901" t="s">
        <v>3376</v>
      </c>
    </row>
    <row r="1902" spans="1:2" x14ac:dyDescent="0.3">
      <c r="A1902" t="s">
        <v>3315</v>
      </c>
      <c r="B1902" t="s">
        <v>3377</v>
      </c>
    </row>
    <row r="1903" spans="1:2" x14ac:dyDescent="0.3">
      <c r="A1903" t="s">
        <v>3315</v>
      </c>
      <c r="B1903" t="s">
        <v>2460</v>
      </c>
    </row>
    <row r="1904" spans="1:2" x14ac:dyDescent="0.3">
      <c r="A1904" t="s">
        <v>3315</v>
      </c>
      <c r="B1904" t="s">
        <v>3378</v>
      </c>
    </row>
    <row r="1905" spans="1:2" x14ac:dyDescent="0.3">
      <c r="A1905" t="s">
        <v>3315</v>
      </c>
      <c r="B1905" t="s">
        <v>3379</v>
      </c>
    </row>
    <row r="1906" spans="1:2" x14ac:dyDescent="0.3">
      <c r="A1906" t="s">
        <v>3315</v>
      </c>
      <c r="B1906" t="s">
        <v>3380</v>
      </c>
    </row>
    <row r="1907" spans="1:2" x14ac:dyDescent="0.3">
      <c r="A1907" t="s">
        <v>3315</v>
      </c>
      <c r="B1907" t="s">
        <v>3381</v>
      </c>
    </row>
    <row r="1908" spans="1:2" x14ac:dyDescent="0.3">
      <c r="A1908" t="s">
        <v>3315</v>
      </c>
      <c r="B1908" t="s">
        <v>3382</v>
      </c>
    </row>
    <row r="1909" spans="1:2" x14ac:dyDescent="0.3">
      <c r="A1909" t="s">
        <v>3315</v>
      </c>
      <c r="B1909" t="s">
        <v>3383</v>
      </c>
    </row>
    <row r="1910" spans="1:2" x14ac:dyDescent="0.3">
      <c r="A1910" t="s">
        <v>3315</v>
      </c>
      <c r="B1910" t="s">
        <v>3384</v>
      </c>
    </row>
    <row r="1911" spans="1:2" x14ac:dyDescent="0.3">
      <c r="A1911" t="s">
        <v>3315</v>
      </c>
      <c r="B1911" t="s">
        <v>3385</v>
      </c>
    </row>
    <row r="1912" spans="1:2" x14ac:dyDescent="0.3">
      <c r="A1912" t="s">
        <v>3315</v>
      </c>
      <c r="B1912" t="s">
        <v>3386</v>
      </c>
    </row>
    <row r="1913" spans="1:2" x14ac:dyDescent="0.3">
      <c r="A1913" t="s">
        <v>3315</v>
      </c>
      <c r="B1913" t="s">
        <v>3387</v>
      </c>
    </row>
    <row r="1914" spans="1:2" x14ac:dyDescent="0.3">
      <c r="A1914" t="s">
        <v>3315</v>
      </c>
      <c r="B1914" t="s">
        <v>3388</v>
      </c>
    </row>
    <row r="1915" spans="1:2" x14ac:dyDescent="0.3">
      <c r="A1915" t="s">
        <v>3315</v>
      </c>
      <c r="B1915" t="s">
        <v>3389</v>
      </c>
    </row>
    <row r="1916" spans="1:2" x14ac:dyDescent="0.3">
      <c r="A1916" t="s">
        <v>3315</v>
      </c>
      <c r="B1916" t="s">
        <v>3390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DD19F-0B40-4816-9232-EFC4A39C02B8}">
  <sheetPr codeName="Planilha4"/>
  <dimension ref="A1:Z20"/>
  <sheetViews>
    <sheetView topLeftCell="M1" zoomScaleNormal="100" workbookViewId="0">
      <selection activeCell="C10" sqref="C10"/>
    </sheetView>
  </sheetViews>
  <sheetFormatPr defaultColWidth="8.88671875" defaultRowHeight="14.4" x14ac:dyDescent="0.3"/>
  <cols>
    <col min="1" max="1" width="8.88671875" style="25"/>
    <col min="2" max="2" width="12.33203125" style="25" customWidth="1"/>
    <col min="3" max="3" width="13.44140625" style="25" customWidth="1"/>
    <col min="4" max="4" width="20.88671875" style="24" customWidth="1"/>
    <col min="5" max="5" width="22.5546875" style="25" customWidth="1"/>
    <col min="6" max="6" width="73.33203125" style="28" customWidth="1"/>
    <col min="7" max="7" width="22.5546875" style="25" customWidth="1"/>
    <col min="8" max="8" width="87.109375" style="28" customWidth="1"/>
    <col min="9" max="9" width="21.6640625" style="24" customWidth="1"/>
    <col min="10" max="10" width="13.88671875" style="43" customWidth="1"/>
    <col min="11" max="11" width="13.88671875" style="25" customWidth="1"/>
    <col min="12" max="14" width="13.88671875" style="40" customWidth="1"/>
    <col min="15" max="15" width="57.6640625" style="40" customWidth="1"/>
    <col min="16" max="16" width="57.6640625" style="28" customWidth="1"/>
    <col min="17" max="18" width="74.33203125" style="28" customWidth="1"/>
    <col min="19" max="26" width="8.88671875" style="28"/>
    <col min="27" max="16384" width="8.88671875" style="26"/>
  </cols>
  <sheetData>
    <row r="1" spans="1:26" x14ac:dyDescent="0.3">
      <c r="A1" s="1"/>
      <c r="C1" s="23"/>
      <c r="D1" s="23"/>
      <c r="E1" s="1"/>
      <c r="F1" s="26"/>
      <c r="G1" s="1"/>
      <c r="H1" s="26"/>
      <c r="I1" s="23"/>
      <c r="J1" s="26"/>
      <c r="K1" s="1"/>
      <c r="L1" s="38"/>
      <c r="M1" s="1"/>
      <c r="N1" s="1"/>
      <c r="O1" s="1"/>
      <c r="P1" s="26"/>
      <c r="Q1" s="26"/>
      <c r="R1" s="26"/>
      <c r="S1" s="26"/>
      <c r="T1" s="26"/>
      <c r="U1" s="26"/>
      <c r="V1" s="26"/>
      <c r="W1" s="26"/>
      <c r="X1" s="26"/>
      <c r="Y1" s="26"/>
      <c r="Z1" s="26"/>
    </row>
    <row r="2" spans="1:26" x14ac:dyDescent="0.3">
      <c r="A2" s="1"/>
      <c r="B2" s="1"/>
      <c r="C2" s="24" t="s">
        <v>1039</v>
      </c>
      <c r="D2" s="24" t="s">
        <v>257</v>
      </c>
      <c r="E2" s="1"/>
      <c r="F2" s="26"/>
      <c r="G2" s="1"/>
      <c r="H2" s="26"/>
      <c r="I2" s="23"/>
      <c r="J2" s="26"/>
      <c r="K2" s="1"/>
      <c r="L2" s="38"/>
      <c r="M2" s="1"/>
      <c r="N2" s="39"/>
      <c r="O2" s="1"/>
      <c r="P2" s="26"/>
      <c r="Q2" s="26"/>
      <c r="R2" s="26"/>
      <c r="S2" s="26"/>
      <c r="T2" s="26"/>
      <c r="U2" s="26"/>
      <c r="V2" s="26"/>
      <c r="W2" s="26"/>
      <c r="X2" s="26"/>
      <c r="Y2" s="26"/>
      <c r="Z2" s="26"/>
    </row>
    <row r="3" spans="1:26" x14ac:dyDescent="0.3">
      <c r="B3" s="1"/>
      <c r="C3" s="23"/>
      <c r="D3" s="23"/>
      <c r="E3" s="1"/>
      <c r="F3" s="26"/>
      <c r="G3" s="1"/>
      <c r="H3" s="26"/>
      <c r="I3" s="23"/>
      <c r="J3" s="26"/>
      <c r="K3" s="1"/>
      <c r="L3" s="38"/>
      <c r="M3" s="1"/>
      <c r="N3" s="1"/>
      <c r="O3" s="1"/>
      <c r="P3" s="26"/>
      <c r="Q3" s="26"/>
      <c r="R3" s="26"/>
      <c r="S3" s="26"/>
      <c r="T3" s="26"/>
      <c r="U3" s="26"/>
      <c r="V3" s="26"/>
      <c r="W3" s="26"/>
      <c r="X3" s="26"/>
      <c r="Y3" s="26"/>
      <c r="Z3" s="26"/>
    </row>
    <row r="4" spans="1:26" x14ac:dyDescent="0.3">
      <c r="C4" s="1"/>
      <c r="D4" s="23"/>
      <c r="E4" s="1"/>
      <c r="F4" s="26"/>
      <c r="G4" s="1"/>
      <c r="H4" s="26"/>
      <c r="I4" s="23"/>
      <c r="J4" s="26"/>
      <c r="K4" s="1"/>
      <c r="L4" s="38"/>
      <c r="M4" s="1"/>
      <c r="N4" s="1"/>
      <c r="O4" s="1"/>
      <c r="P4" s="26"/>
      <c r="Q4" s="26"/>
      <c r="R4" s="26"/>
      <c r="S4" s="26"/>
      <c r="T4" s="26"/>
      <c r="U4" s="26"/>
      <c r="V4" s="26"/>
      <c r="W4" s="26"/>
      <c r="X4" s="26"/>
      <c r="Y4" s="26"/>
      <c r="Z4" s="26"/>
    </row>
    <row r="5" spans="1:26" s="11" customFormat="1" ht="15.6" x14ac:dyDescent="0.3">
      <c r="A5" s="44" t="s">
        <v>427</v>
      </c>
      <c r="B5" s="44" t="s">
        <v>1048</v>
      </c>
      <c r="C5" s="44" t="s">
        <v>1049</v>
      </c>
      <c r="D5" s="45" t="s">
        <v>945</v>
      </c>
      <c r="E5" s="44" t="s">
        <v>535</v>
      </c>
      <c r="F5" s="44" t="s">
        <v>530</v>
      </c>
      <c r="G5" s="44" t="s">
        <v>532</v>
      </c>
      <c r="H5" s="44" t="s">
        <v>531</v>
      </c>
      <c r="I5" s="46" t="s">
        <v>1050</v>
      </c>
      <c r="J5" s="46" t="s">
        <v>1123</v>
      </c>
      <c r="K5" s="46" t="s">
        <v>1124</v>
      </c>
      <c r="L5" s="46" t="s">
        <v>1125</v>
      </c>
      <c r="M5" s="46" t="s">
        <v>1126</v>
      </c>
      <c r="N5" s="46" t="s">
        <v>1127</v>
      </c>
      <c r="O5" s="46" t="s">
        <v>1128</v>
      </c>
      <c r="P5" s="46" t="s">
        <v>1129</v>
      </c>
      <c r="Q5" s="47" t="s">
        <v>1149</v>
      </c>
      <c r="R5" s="47" t="s">
        <v>1153</v>
      </c>
    </row>
    <row r="6" spans="1:26" x14ac:dyDescent="0.3">
      <c r="A6" s="25">
        <v>1</v>
      </c>
      <c r="B6" s="25">
        <v>75</v>
      </c>
      <c r="C6" s="29">
        <v>45809</v>
      </c>
      <c r="D6" s="24" t="s">
        <v>624</v>
      </c>
      <c r="E6" s="25" t="s">
        <v>1</v>
      </c>
      <c r="F6" s="27" t="s">
        <v>257</v>
      </c>
      <c r="G6" s="25" t="s">
        <v>2</v>
      </c>
      <c r="H6" s="28" t="s">
        <v>20</v>
      </c>
      <c r="I6" s="24" t="s">
        <v>1052</v>
      </c>
      <c r="J6" s="42"/>
      <c r="K6" s="40">
        <v>0.02</v>
      </c>
      <c r="L6" s="40">
        <v>0.05</v>
      </c>
      <c r="M6" s="40">
        <v>0.1</v>
      </c>
      <c r="N6" s="40">
        <v>0.15</v>
      </c>
      <c r="O6" s="28"/>
      <c r="P6" s="28" t="s">
        <v>1130</v>
      </c>
      <c r="Q6" s="28" t="s">
        <v>1134</v>
      </c>
    </row>
    <row r="7" spans="1:26" x14ac:dyDescent="0.3">
      <c r="A7" s="25">
        <v>3</v>
      </c>
      <c r="B7" s="25">
        <v>75</v>
      </c>
      <c r="C7" s="29">
        <v>45809</v>
      </c>
      <c r="D7" s="24" t="s">
        <v>624</v>
      </c>
      <c r="E7" s="25" t="s">
        <v>1</v>
      </c>
      <c r="F7" s="27" t="s">
        <v>257</v>
      </c>
      <c r="G7" s="25" t="s">
        <v>2</v>
      </c>
      <c r="H7" s="28" t="s">
        <v>20</v>
      </c>
      <c r="I7" s="24" t="s">
        <v>1052</v>
      </c>
      <c r="J7" s="42"/>
      <c r="K7" s="40">
        <v>0.02</v>
      </c>
      <c r="L7" s="40">
        <v>0.05</v>
      </c>
      <c r="M7" s="40">
        <v>0.1</v>
      </c>
      <c r="N7" s="40">
        <v>0.15</v>
      </c>
      <c r="O7" s="28"/>
      <c r="P7" s="28" t="s">
        <v>1130</v>
      </c>
    </row>
    <row r="8" spans="1:26" x14ac:dyDescent="0.3">
      <c r="A8" s="25">
        <v>5</v>
      </c>
      <c r="B8" s="25">
        <v>18</v>
      </c>
      <c r="C8" s="29">
        <v>45809</v>
      </c>
      <c r="D8" s="24" t="s">
        <v>537</v>
      </c>
      <c r="E8" s="25" t="s">
        <v>1</v>
      </c>
      <c r="F8" s="27" t="s">
        <v>257</v>
      </c>
      <c r="G8" s="25" t="s">
        <v>2</v>
      </c>
      <c r="H8" s="28" t="s">
        <v>20</v>
      </c>
      <c r="I8" s="24" t="s">
        <v>1052</v>
      </c>
      <c r="J8" s="42"/>
      <c r="K8" s="40">
        <v>0.02</v>
      </c>
      <c r="L8" s="40">
        <v>0.04</v>
      </c>
      <c r="M8" s="40">
        <v>0.08</v>
      </c>
      <c r="N8" s="40">
        <v>0.12</v>
      </c>
      <c r="O8" s="28"/>
    </row>
    <row r="9" spans="1:26" x14ac:dyDescent="0.3">
      <c r="A9" s="25">
        <v>8</v>
      </c>
      <c r="B9" s="25">
        <v>18</v>
      </c>
      <c r="C9" s="29">
        <v>45809</v>
      </c>
      <c r="D9" s="24" t="s">
        <v>539</v>
      </c>
      <c r="E9" s="25" t="s">
        <v>1</v>
      </c>
      <c r="F9" s="27" t="s">
        <v>257</v>
      </c>
      <c r="G9" s="25" t="s">
        <v>2</v>
      </c>
      <c r="H9" s="28" t="s">
        <v>20</v>
      </c>
      <c r="I9" s="24" t="s">
        <v>1052</v>
      </c>
      <c r="J9" s="42"/>
      <c r="K9" s="40">
        <v>0.02</v>
      </c>
      <c r="L9" s="40">
        <v>0.04</v>
      </c>
      <c r="M9" s="40">
        <v>0.08</v>
      </c>
      <c r="N9" s="40">
        <v>0.12</v>
      </c>
      <c r="O9" s="28"/>
    </row>
    <row r="10" spans="1:26" x14ac:dyDescent="0.3">
      <c r="A10" s="25">
        <v>9</v>
      </c>
      <c r="B10" s="25">
        <v>18</v>
      </c>
      <c r="C10" s="29">
        <v>45809</v>
      </c>
      <c r="D10" s="24" t="s">
        <v>540</v>
      </c>
      <c r="E10" s="25" t="s">
        <v>1</v>
      </c>
      <c r="F10" s="27" t="s">
        <v>257</v>
      </c>
      <c r="G10" s="25" t="s">
        <v>2</v>
      </c>
      <c r="H10" s="28" t="s">
        <v>20</v>
      </c>
      <c r="I10" s="24" t="s">
        <v>1052</v>
      </c>
      <c r="J10" s="42"/>
      <c r="K10" s="40">
        <v>0.02</v>
      </c>
      <c r="L10" s="40">
        <v>0.04</v>
      </c>
      <c r="M10" s="40">
        <v>0.08</v>
      </c>
      <c r="N10" s="40">
        <v>0.12</v>
      </c>
      <c r="O10" s="28"/>
    </row>
    <row r="11" spans="1:26" x14ac:dyDescent="0.3">
      <c r="A11" s="25">
        <v>14</v>
      </c>
      <c r="B11" s="25">
        <v>1</v>
      </c>
      <c r="C11" s="29">
        <v>45809</v>
      </c>
      <c r="D11" s="24" t="s">
        <v>704</v>
      </c>
      <c r="E11" s="25" t="s">
        <v>1</v>
      </c>
      <c r="F11" s="27" t="s">
        <v>257</v>
      </c>
      <c r="G11" s="25" t="s">
        <v>2</v>
      </c>
      <c r="H11" s="28" t="s">
        <v>20</v>
      </c>
      <c r="I11" s="24" t="s">
        <v>1052</v>
      </c>
      <c r="J11" s="42"/>
      <c r="K11" s="40">
        <v>0.02</v>
      </c>
      <c r="L11" s="40">
        <v>0.05</v>
      </c>
      <c r="M11" s="40">
        <v>0.1</v>
      </c>
      <c r="N11" s="40">
        <v>0.15</v>
      </c>
      <c r="O11" s="28"/>
    </row>
    <row r="12" spans="1:26" x14ac:dyDescent="0.3">
      <c r="A12" s="25">
        <v>21</v>
      </c>
      <c r="B12" s="25">
        <v>1</v>
      </c>
      <c r="C12" s="29">
        <v>45809</v>
      </c>
      <c r="D12" s="24" t="s">
        <v>704</v>
      </c>
      <c r="E12" s="25" t="s">
        <v>1</v>
      </c>
      <c r="F12" s="27" t="s">
        <v>257</v>
      </c>
      <c r="G12" s="25" t="s">
        <v>2</v>
      </c>
      <c r="H12" s="28" t="s">
        <v>20</v>
      </c>
      <c r="I12" s="24" t="s">
        <v>1052</v>
      </c>
      <c r="J12" s="42"/>
      <c r="K12" s="40">
        <v>0.02</v>
      </c>
      <c r="L12" s="40">
        <v>0.05</v>
      </c>
      <c r="M12" s="40">
        <v>0.1</v>
      </c>
      <c r="N12" s="40">
        <v>0.15</v>
      </c>
      <c r="O12" s="28"/>
    </row>
    <row r="13" spans="1:26" x14ac:dyDescent="0.3">
      <c r="A13" s="25">
        <v>34</v>
      </c>
      <c r="B13" s="25">
        <v>18</v>
      </c>
      <c r="C13" s="29">
        <v>45809</v>
      </c>
      <c r="D13" s="24" t="s">
        <v>555</v>
      </c>
      <c r="E13" s="25" t="s">
        <v>1</v>
      </c>
      <c r="F13" s="27" t="s">
        <v>257</v>
      </c>
      <c r="G13" s="25" t="s">
        <v>2</v>
      </c>
      <c r="H13" s="28" t="s">
        <v>20</v>
      </c>
      <c r="I13" s="24" t="s">
        <v>1052</v>
      </c>
      <c r="J13" s="42"/>
      <c r="K13" s="40">
        <v>0.02</v>
      </c>
      <c r="L13" s="40">
        <v>0.04</v>
      </c>
      <c r="M13" s="40">
        <v>0.08</v>
      </c>
      <c r="N13" s="40">
        <v>0.12</v>
      </c>
      <c r="O13" s="28"/>
    </row>
    <row r="14" spans="1:26" x14ac:dyDescent="0.3">
      <c r="A14" s="25">
        <v>68</v>
      </c>
      <c r="B14" s="25">
        <v>18</v>
      </c>
      <c r="C14" s="29">
        <v>45809</v>
      </c>
      <c r="D14" s="24" t="s">
        <v>567</v>
      </c>
      <c r="E14" s="25" t="s">
        <v>1</v>
      </c>
      <c r="F14" s="27" t="s">
        <v>257</v>
      </c>
      <c r="G14" s="25" t="s">
        <v>2</v>
      </c>
      <c r="H14" s="28" t="s">
        <v>20</v>
      </c>
      <c r="I14" s="24" t="s">
        <v>1052</v>
      </c>
      <c r="J14" s="42"/>
      <c r="K14" s="40">
        <v>0.02</v>
      </c>
      <c r="L14" s="40">
        <v>0.04</v>
      </c>
      <c r="M14" s="40">
        <v>0.08</v>
      </c>
      <c r="N14" s="40">
        <v>0.12</v>
      </c>
      <c r="O14" s="28"/>
    </row>
    <row r="15" spans="1:26" x14ac:dyDescent="0.3">
      <c r="A15" s="25">
        <v>176</v>
      </c>
      <c r="B15" s="25">
        <v>75</v>
      </c>
      <c r="C15" s="29">
        <v>45809</v>
      </c>
      <c r="D15" s="24" t="s">
        <v>624</v>
      </c>
      <c r="E15" s="25" t="s">
        <v>1</v>
      </c>
      <c r="F15" s="27" t="s">
        <v>257</v>
      </c>
      <c r="G15" s="25" t="s">
        <v>2</v>
      </c>
      <c r="H15" s="28" t="s">
        <v>20</v>
      </c>
      <c r="I15" s="24" t="s">
        <v>1052</v>
      </c>
      <c r="J15" s="42"/>
      <c r="K15" s="40">
        <v>0.02</v>
      </c>
      <c r="L15" s="40">
        <v>0.05</v>
      </c>
      <c r="M15" s="40">
        <v>0.1</v>
      </c>
      <c r="N15" s="40">
        <v>0.15</v>
      </c>
      <c r="O15" s="28"/>
    </row>
    <row r="16" spans="1:26" x14ac:dyDescent="0.3">
      <c r="A16" s="25">
        <v>288</v>
      </c>
      <c r="B16" s="25">
        <v>1</v>
      </c>
      <c r="C16" s="29">
        <v>45809</v>
      </c>
      <c r="D16" s="24" t="s">
        <v>704</v>
      </c>
      <c r="E16" s="25" t="s">
        <v>1</v>
      </c>
      <c r="F16" s="27" t="s">
        <v>257</v>
      </c>
      <c r="G16" s="25" t="s">
        <v>2</v>
      </c>
      <c r="H16" s="28" t="s">
        <v>20</v>
      </c>
      <c r="I16" s="24" t="s">
        <v>1052</v>
      </c>
      <c r="J16" s="42"/>
      <c r="K16" s="40">
        <v>0.02</v>
      </c>
      <c r="L16" s="40">
        <v>0.05</v>
      </c>
      <c r="M16" s="40">
        <v>0.1</v>
      </c>
      <c r="N16" s="40">
        <v>0.15</v>
      </c>
      <c r="O16" s="28"/>
    </row>
    <row r="17" spans="1:15" x14ac:dyDescent="0.3">
      <c r="A17" s="25">
        <v>312</v>
      </c>
      <c r="B17" s="25">
        <v>1</v>
      </c>
      <c r="C17" s="29">
        <v>45809</v>
      </c>
      <c r="D17" s="24" t="s">
        <v>704</v>
      </c>
      <c r="E17" s="25" t="s">
        <v>1</v>
      </c>
      <c r="F17" s="27" t="s">
        <v>257</v>
      </c>
      <c r="G17" s="25" t="s">
        <v>2</v>
      </c>
      <c r="H17" s="28" t="s">
        <v>20</v>
      </c>
      <c r="I17" s="24" t="s">
        <v>1052</v>
      </c>
      <c r="J17" s="42"/>
      <c r="K17" s="40">
        <v>0.02</v>
      </c>
      <c r="L17" s="40">
        <v>0.05</v>
      </c>
      <c r="M17" s="40">
        <v>0.1</v>
      </c>
      <c r="N17" s="40">
        <v>0.15</v>
      </c>
      <c r="O17" s="28"/>
    </row>
    <row r="18" spans="1:15" x14ac:dyDescent="0.3">
      <c r="A18" s="25">
        <v>374</v>
      </c>
      <c r="B18" s="25">
        <v>75</v>
      </c>
      <c r="C18" s="29">
        <v>45809</v>
      </c>
      <c r="D18" s="24" t="s">
        <v>760</v>
      </c>
      <c r="E18" s="25" t="s">
        <v>1</v>
      </c>
      <c r="F18" s="27" t="s">
        <v>257</v>
      </c>
      <c r="G18" s="25" t="s">
        <v>2</v>
      </c>
      <c r="H18" s="28" t="s">
        <v>20</v>
      </c>
      <c r="I18" s="24" t="s">
        <v>1052</v>
      </c>
      <c r="J18" s="42"/>
      <c r="K18" s="40">
        <v>0.02</v>
      </c>
      <c r="L18" s="40">
        <v>0.04</v>
      </c>
      <c r="M18" s="40">
        <v>0.08</v>
      </c>
      <c r="N18" s="40">
        <v>0.12</v>
      </c>
      <c r="O18" s="28"/>
    </row>
    <row r="19" spans="1:15" x14ac:dyDescent="0.3">
      <c r="A19" s="25">
        <v>434</v>
      </c>
      <c r="B19" s="25">
        <v>75</v>
      </c>
      <c r="C19" s="29">
        <v>45809</v>
      </c>
      <c r="D19" s="24" t="s">
        <v>1035</v>
      </c>
      <c r="E19" s="25" t="s">
        <v>1</v>
      </c>
      <c r="F19" s="27" t="s">
        <v>257</v>
      </c>
      <c r="G19" s="25" t="s">
        <v>2</v>
      </c>
      <c r="H19" s="28" t="s">
        <v>20</v>
      </c>
      <c r="I19" s="24" t="s">
        <v>1052</v>
      </c>
      <c r="J19" s="42"/>
      <c r="K19" s="40">
        <v>0.02</v>
      </c>
      <c r="L19" s="40">
        <v>0.05</v>
      </c>
      <c r="M19" s="40">
        <v>0.1</v>
      </c>
      <c r="N19" s="40">
        <v>0.15</v>
      </c>
      <c r="O19" s="28"/>
    </row>
    <row r="20" spans="1:15" x14ac:dyDescent="0.3">
      <c r="A20" s="25">
        <v>654</v>
      </c>
      <c r="B20" s="25">
        <v>1</v>
      </c>
      <c r="C20" s="29">
        <v>45809</v>
      </c>
      <c r="D20" s="24" t="s">
        <v>1031</v>
      </c>
      <c r="E20" s="25" t="s">
        <v>1</v>
      </c>
      <c r="F20" s="27" t="s">
        <v>257</v>
      </c>
      <c r="G20" s="25" t="s">
        <v>2</v>
      </c>
      <c r="H20" s="28" t="s">
        <v>20</v>
      </c>
      <c r="I20" s="24" t="s">
        <v>1052</v>
      </c>
    </row>
  </sheetData>
  <pageMargins left="0.511811024" right="0.511811024" top="0.78740157499999996" bottom="0.78740157499999996" header="0.31496062000000002" footer="0.31496062000000002"/>
  <pageSetup paperSize="9" orientation="portrait" r:id="rId1"/>
  <drawing r:id="rId2"/>
  <legacyDrawing r:id="rId3"/>
  <controls>
    <mc:AlternateContent xmlns:mc="http://schemas.openxmlformats.org/markup-compatibility/2006">
      <mc:Choice Requires="x14">
        <control shapeId="1029" r:id="rId4" name="TempCombo">
          <controlPr defaultSize="0" autoLine="0" autoPict="0" linkedCell="$D$2" listFillRange="'BASE (CNPJ ÚNICOS)'!$B$2:$B$246" r:id="rId5">
            <anchor moveWithCells="1">
              <from>
                <xdr:col>3</xdr:col>
                <xdr:colOff>0</xdr:colOff>
                <xdr:row>1</xdr:row>
                <xdr:rowOff>0</xdr:rowOff>
              </from>
              <to>
                <xdr:col>5</xdr:col>
                <xdr:colOff>3931920</xdr:colOff>
                <xdr:row>2</xdr:row>
                <xdr:rowOff>60960</xdr:rowOff>
              </to>
            </anchor>
          </controlPr>
        </control>
      </mc:Choice>
      <mc:Fallback>
        <control shapeId="1029" r:id="rId4" name="TempCombo"/>
      </mc:Fallback>
    </mc:AlternateContent>
  </controls>
  <extLst>
    <ext xmlns:x14="http://schemas.microsoft.com/office/spreadsheetml/2009/9/main" uri="{CCE6A557-97BC-4b89-ADB6-D9C93CAAB3DF}">
      <x14:dataValidations xmlns:xm="http://schemas.microsoft.com/office/excel/2006/main" disablePrompts="1" count="1">
        <x14:dataValidation type="list" allowBlank="1" showDropDown="1" showInputMessage="1" showErrorMessage="1" xr:uid="{19D9438C-704E-405B-AACA-D63A045D950A}">
          <x14:formula1>
            <xm:f>'BASE (CNPJ ÚNICOS)'!$B$2:$B$246</xm:f>
          </x14:formula1>
          <xm:sqref>C2:D2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51C78-36DD-4363-9F97-D8E4F0CA8599}">
  <sheetPr codeName="Planilha6"/>
  <dimension ref="A1:E287"/>
  <sheetViews>
    <sheetView zoomScaleNormal="100" workbookViewId="0">
      <selection activeCell="C10" sqref="C10"/>
    </sheetView>
  </sheetViews>
  <sheetFormatPr defaultColWidth="9.109375" defaultRowHeight="14.4" x14ac:dyDescent="0.3"/>
  <cols>
    <col min="1" max="1" width="27.33203125" style="5" customWidth="1"/>
    <col min="2" max="3" width="104.33203125" style="6" customWidth="1"/>
    <col min="4" max="4" width="24.33203125" style="4" customWidth="1"/>
    <col min="5" max="5" width="26.6640625" style="3" customWidth="1"/>
    <col min="6" max="8" width="9" style="4" customWidth="1"/>
    <col min="9" max="16384" width="9.109375" style="4"/>
  </cols>
  <sheetData>
    <row r="1" spans="1:4" x14ac:dyDescent="0.3">
      <c r="A1" s="5" t="s">
        <v>0</v>
      </c>
      <c r="B1" s="3" t="s">
        <v>256</v>
      </c>
      <c r="C1" s="3" t="s">
        <v>3585</v>
      </c>
      <c r="D1" s="3"/>
    </row>
    <row r="2" spans="1:4" x14ac:dyDescent="0.3">
      <c r="A2" s="5" t="s">
        <v>1</v>
      </c>
      <c r="B2" s="7" t="s">
        <v>257</v>
      </c>
      <c r="C2" s="7" t="s">
        <v>3584</v>
      </c>
      <c r="D2" s="3"/>
    </row>
    <row r="3" spans="1:4" x14ac:dyDescent="0.3">
      <c r="A3" s="5" t="s">
        <v>2</v>
      </c>
      <c r="B3" s="7" t="s">
        <v>20</v>
      </c>
      <c r="C3" s="7" t="s">
        <v>704</v>
      </c>
      <c r="D3" s="3"/>
    </row>
    <row r="4" spans="1:4" x14ac:dyDescent="0.3">
      <c r="A4" s="5" t="s">
        <v>3</v>
      </c>
      <c r="B4" s="7" t="s">
        <v>7</v>
      </c>
      <c r="C4" s="7" t="s">
        <v>695</v>
      </c>
      <c r="D4" s="3"/>
    </row>
    <row r="5" spans="1:4" x14ac:dyDescent="0.3">
      <c r="A5" s="5" t="s">
        <v>4</v>
      </c>
      <c r="B5" s="7" t="s">
        <v>292</v>
      </c>
      <c r="C5" s="7" t="s">
        <v>820</v>
      </c>
      <c r="D5" s="3"/>
    </row>
    <row r="6" spans="1:4" x14ac:dyDescent="0.3">
      <c r="A6" s="5" t="s">
        <v>5</v>
      </c>
      <c r="B6" s="7" t="s">
        <v>293</v>
      </c>
      <c r="C6" s="7" t="s">
        <v>3586</v>
      </c>
      <c r="D6" s="3"/>
    </row>
    <row r="7" spans="1:4" x14ac:dyDescent="0.3">
      <c r="A7" s="5" t="s">
        <v>8</v>
      </c>
      <c r="B7" s="7" t="s">
        <v>294</v>
      </c>
      <c r="C7" s="7" t="s">
        <v>3587</v>
      </c>
      <c r="D7" s="3"/>
    </row>
    <row r="8" spans="1:4" x14ac:dyDescent="0.3">
      <c r="A8" s="5" t="s">
        <v>9</v>
      </c>
      <c r="B8" s="7" t="s">
        <v>295</v>
      </c>
      <c r="C8" s="7" t="s">
        <v>3587</v>
      </c>
      <c r="D8" s="3"/>
    </row>
    <row r="9" spans="1:4" x14ac:dyDescent="0.3">
      <c r="A9" s="5" t="s">
        <v>10</v>
      </c>
      <c r="B9" s="7" t="s">
        <v>296</v>
      </c>
      <c r="C9" s="7" t="s">
        <v>3588</v>
      </c>
      <c r="D9" s="3"/>
    </row>
    <row r="10" spans="1:4" x14ac:dyDescent="0.3">
      <c r="A10" s="5" t="s">
        <v>11</v>
      </c>
      <c r="B10" s="7" t="s">
        <v>297</v>
      </c>
      <c r="C10" s="7" t="s">
        <v>3588</v>
      </c>
      <c r="D10" s="3"/>
    </row>
    <row r="11" spans="1:4" x14ac:dyDescent="0.3">
      <c r="A11" s="5" t="s">
        <v>12</v>
      </c>
      <c r="B11" s="7" t="s">
        <v>298</v>
      </c>
      <c r="C11" s="7" t="s">
        <v>3589</v>
      </c>
      <c r="D11" s="3"/>
    </row>
    <row r="12" spans="1:4" x14ac:dyDescent="0.3">
      <c r="A12" s="5" t="s">
        <v>13</v>
      </c>
      <c r="B12" s="7" t="s">
        <v>299</v>
      </c>
      <c r="C12" s="7" t="s">
        <v>3589</v>
      </c>
      <c r="D12" s="3"/>
    </row>
    <row r="13" spans="1:4" x14ac:dyDescent="0.3">
      <c r="A13" s="5" t="s">
        <v>14</v>
      </c>
      <c r="B13" s="7" t="s">
        <v>15</v>
      </c>
      <c r="C13" s="7" t="s">
        <v>695</v>
      </c>
      <c r="D13" s="3"/>
    </row>
    <row r="14" spans="1:4" x14ac:dyDescent="0.3">
      <c r="A14" s="5" t="s">
        <v>16</v>
      </c>
      <c r="B14" s="7" t="s">
        <v>300</v>
      </c>
      <c r="C14" s="7" t="s">
        <v>731</v>
      </c>
      <c r="D14" s="3"/>
    </row>
    <row r="15" spans="1:4" x14ac:dyDescent="0.3">
      <c r="A15" s="5" t="s">
        <v>17</v>
      </c>
      <c r="B15" s="7" t="s">
        <v>301</v>
      </c>
      <c r="C15" s="7" t="s">
        <v>731</v>
      </c>
      <c r="D15" s="3"/>
    </row>
    <row r="16" spans="1:4" x14ac:dyDescent="0.3">
      <c r="A16" s="5" t="s">
        <v>18</v>
      </c>
      <c r="B16" s="7" t="s">
        <v>302</v>
      </c>
      <c r="C16" s="7" t="s">
        <v>559</v>
      </c>
      <c r="D16" s="3"/>
    </row>
    <row r="17" spans="1:4" x14ac:dyDescent="0.3">
      <c r="A17" s="5" t="s">
        <v>19</v>
      </c>
      <c r="B17" s="7" t="s">
        <v>303</v>
      </c>
      <c r="C17" s="7" t="s">
        <v>559</v>
      </c>
      <c r="D17" s="3"/>
    </row>
    <row r="18" spans="1:4" x14ac:dyDescent="0.3">
      <c r="A18" s="5" t="s">
        <v>21</v>
      </c>
      <c r="B18" s="7" t="s">
        <v>304</v>
      </c>
      <c r="C18" s="7" t="s">
        <v>550</v>
      </c>
      <c r="D18" s="3"/>
    </row>
    <row r="19" spans="1:4" x14ac:dyDescent="0.3">
      <c r="A19" s="5" t="s">
        <v>22</v>
      </c>
      <c r="B19" s="7" t="s">
        <v>305</v>
      </c>
      <c r="C19" s="7" t="s">
        <v>3590</v>
      </c>
      <c r="D19" s="3"/>
    </row>
    <row r="20" spans="1:4" x14ac:dyDescent="0.3">
      <c r="A20" s="5" t="s">
        <v>23</v>
      </c>
      <c r="B20" s="7" t="s">
        <v>24</v>
      </c>
      <c r="C20" s="7" t="s">
        <v>3590</v>
      </c>
      <c r="D20" s="3"/>
    </row>
    <row r="21" spans="1:4" x14ac:dyDescent="0.3">
      <c r="A21" s="5" t="s">
        <v>25</v>
      </c>
      <c r="B21" s="7" t="s">
        <v>431</v>
      </c>
      <c r="C21" s="7" t="s">
        <v>698</v>
      </c>
      <c r="D21" s="3"/>
    </row>
    <row r="22" spans="1:4" x14ac:dyDescent="0.3">
      <c r="A22" s="5" t="s">
        <v>26</v>
      </c>
      <c r="B22" s="7" t="s">
        <v>306</v>
      </c>
      <c r="C22" s="7" t="s">
        <v>698</v>
      </c>
      <c r="D22" s="3"/>
    </row>
    <row r="23" spans="1:4" x14ac:dyDescent="0.3">
      <c r="A23" s="5" t="s">
        <v>27</v>
      </c>
      <c r="B23" s="7" t="s">
        <v>307</v>
      </c>
      <c r="C23" s="7" t="s">
        <v>944</v>
      </c>
      <c r="D23" s="3"/>
    </row>
    <row r="24" spans="1:4" x14ac:dyDescent="0.3">
      <c r="A24" s="5" t="s">
        <v>28</v>
      </c>
      <c r="B24" s="7" t="s">
        <v>308</v>
      </c>
      <c r="C24" s="7" t="s">
        <v>944</v>
      </c>
      <c r="D24" s="3"/>
    </row>
    <row r="25" spans="1:4" x14ac:dyDescent="0.3">
      <c r="A25" s="5" t="s">
        <v>29</v>
      </c>
      <c r="B25" s="7" t="s">
        <v>309</v>
      </c>
      <c r="C25" s="7" t="s">
        <v>554</v>
      </c>
      <c r="D25" s="3"/>
    </row>
    <row r="26" spans="1:4" x14ac:dyDescent="0.3">
      <c r="A26" s="5" t="s">
        <v>30</v>
      </c>
      <c r="B26" s="7" t="s">
        <v>310</v>
      </c>
      <c r="C26" s="7" t="s">
        <v>556</v>
      </c>
      <c r="D26" s="3"/>
    </row>
    <row r="27" spans="1:4" x14ac:dyDescent="0.3">
      <c r="A27" s="5" t="s">
        <v>31</v>
      </c>
      <c r="B27" s="7" t="s">
        <v>32</v>
      </c>
      <c r="C27" s="7" t="s">
        <v>557</v>
      </c>
      <c r="D27" s="3"/>
    </row>
    <row r="28" spans="1:4" x14ac:dyDescent="0.3">
      <c r="A28" s="5" t="s">
        <v>33</v>
      </c>
      <c r="B28" s="8" t="s">
        <v>34</v>
      </c>
      <c r="C28" s="8" t="s">
        <v>3608</v>
      </c>
      <c r="D28" s="3"/>
    </row>
    <row r="29" spans="1:4" x14ac:dyDescent="0.3">
      <c r="A29" s="5" t="s">
        <v>35</v>
      </c>
      <c r="B29" s="7" t="s">
        <v>311</v>
      </c>
      <c r="C29" s="7" t="s">
        <v>560</v>
      </c>
      <c r="D29" s="3"/>
    </row>
    <row r="30" spans="1:4" x14ac:dyDescent="0.3">
      <c r="A30" s="5" t="s">
        <v>36</v>
      </c>
      <c r="B30" s="7" t="s">
        <v>312</v>
      </c>
      <c r="C30" s="7" t="s">
        <v>701</v>
      </c>
      <c r="D30" s="3"/>
    </row>
    <row r="31" spans="1:4" x14ac:dyDescent="0.3">
      <c r="A31" s="5" t="s">
        <v>37</v>
      </c>
      <c r="B31" s="7" t="s">
        <v>313</v>
      </c>
      <c r="C31" s="7" t="s">
        <v>701</v>
      </c>
      <c r="D31" s="3"/>
    </row>
    <row r="32" spans="1:4" x14ac:dyDescent="0.3">
      <c r="A32" s="5" t="s">
        <v>38</v>
      </c>
      <c r="B32" s="7" t="s">
        <v>314</v>
      </c>
      <c r="C32" s="7" t="s">
        <v>675</v>
      </c>
      <c r="D32" s="3"/>
    </row>
    <row r="33" spans="1:4" x14ac:dyDescent="0.3">
      <c r="A33" s="5" t="s">
        <v>39</v>
      </c>
      <c r="B33" s="7" t="s">
        <v>315</v>
      </c>
      <c r="C33" s="7" t="s">
        <v>675</v>
      </c>
      <c r="D33" s="3"/>
    </row>
    <row r="34" spans="1:4" x14ac:dyDescent="0.3">
      <c r="A34" s="5" t="s">
        <v>40</v>
      </c>
      <c r="B34" s="7" t="s">
        <v>316</v>
      </c>
      <c r="C34" s="7" t="s">
        <v>577</v>
      </c>
      <c r="D34" s="3"/>
    </row>
    <row r="35" spans="1:4" x14ac:dyDescent="0.3">
      <c r="A35" s="5" t="s">
        <v>41</v>
      </c>
      <c r="B35" s="7" t="s">
        <v>317</v>
      </c>
      <c r="C35" s="7" t="s">
        <v>577</v>
      </c>
      <c r="D35" s="3"/>
    </row>
    <row r="36" spans="1:4" x14ac:dyDescent="0.3">
      <c r="A36" s="5" t="s">
        <v>42</v>
      </c>
      <c r="B36" s="7" t="s">
        <v>318</v>
      </c>
      <c r="C36" s="7" t="s">
        <v>683</v>
      </c>
      <c r="D36" s="3"/>
    </row>
    <row r="37" spans="1:4" x14ac:dyDescent="0.3">
      <c r="A37" s="5" t="s">
        <v>43</v>
      </c>
      <c r="B37" s="7" t="s">
        <v>319</v>
      </c>
      <c r="C37" s="7" t="s">
        <v>683</v>
      </c>
      <c r="D37" s="3"/>
    </row>
    <row r="38" spans="1:4" x14ac:dyDescent="0.3">
      <c r="A38" s="5" t="s">
        <v>44</v>
      </c>
      <c r="B38" s="7" t="s">
        <v>320</v>
      </c>
      <c r="C38" s="7" t="s">
        <v>3609</v>
      </c>
      <c r="D38" s="3"/>
    </row>
    <row r="39" spans="1:4" x14ac:dyDescent="0.3">
      <c r="A39" s="5" t="s">
        <v>45</v>
      </c>
      <c r="B39" s="7" t="s">
        <v>321</v>
      </c>
      <c r="C39" s="7" t="s">
        <v>3609</v>
      </c>
      <c r="D39" s="3"/>
    </row>
    <row r="40" spans="1:4" x14ac:dyDescent="0.3">
      <c r="A40" s="5" t="s">
        <v>46</v>
      </c>
      <c r="B40" s="7" t="s">
        <v>322</v>
      </c>
      <c r="C40" s="7" t="s">
        <v>3610</v>
      </c>
      <c r="D40" s="3"/>
    </row>
    <row r="41" spans="1:4" x14ac:dyDescent="0.3">
      <c r="A41" s="5" t="s">
        <v>47</v>
      </c>
      <c r="B41" s="7" t="s">
        <v>323</v>
      </c>
      <c r="C41" s="7" t="s">
        <v>3610</v>
      </c>
      <c r="D41" s="3"/>
    </row>
    <row r="42" spans="1:4" x14ac:dyDescent="0.3">
      <c r="A42" s="5" t="s">
        <v>48</v>
      </c>
      <c r="B42" s="7" t="s">
        <v>324</v>
      </c>
      <c r="C42" s="7" t="s">
        <v>780</v>
      </c>
      <c r="D42" s="3"/>
    </row>
    <row r="43" spans="1:4" x14ac:dyDescent="0.3">
      <c r="A43" s="5" t="s">
        <v>49</v>
      </c>
      <c r="B43" s="7" t="s">
        <v>325</v>
      </c>
      <c r="C43" s="7" t="s">
        <v>3611</v>
      </c>
      <c r="D43" s="3"/>
    </row>
    <row r="44" spans="1:4" x14ac:dyDescent="0.3">
      <c r="A44" s="5" t="s">
        <v>50</v>
      </c>
      <c r="B44" s="7" t="s">
        <v>326</v>
      </c>
      <c r="C44" s="7" t="s">
        <v>693</v>
      </c>
      <c r="D44" s="3"/>
    </row>
    <row r="45" spans="1:4" x14ac:dyDescent="0.3">
      <c r="A45" s="5" t="s">
        <v>51</v>
      </c>
      <c r="B45" s="7" t="s">
        <v>134</v>
      </c>
      <c r="C45" s="7" t="s">
        <v>746</v>
      </c>
      <c r="D45" s="3"/>
    </row>
    <row r="46" spans="1:4" x14ac:dyDescent="0.3">
      <c r="A46" s="5" t="s">
        <v>52</v>
      </c>
      <c r="B46" s="7" t="s">
        <v>327</v>
      </c>
      <c r="C46" s="7" t="s">
        <v>734</v>
      </c>
      <c r="D46" s="3"/>
    </row>
    <row r="47" spans="1:4" x14ac:dyDescent="0.3">
      <c r="A47" s="5" t="s">
        <v>53</v>
      </c>
      <c r="B47" s="7" t="s">
        <v>328</v>
      </c>
      <c r="C47" s="7" t="s">
        <v>820</v>
      </c>
      <c r="D47" s="3"/>
    </row>
    <row r="48" spans="1:4" x14ac:dyDescent="0.3">
      <c r="A48" s="5" t="s">
        <v>54</v>
      </c>
      <c r="B48" s="7" t="s">
        <v>329</v>
      </c>
      <c r="C48" s="7" t="s">
        <v>883</v>
      </c>
      <c r="D48" s="3"/>
    </row>
    <row r="49" spans="1:4" x14ac:dyDescent="0.3">
      <c r="A49" s="5" t="s">
        <v>55</v>
      </c>
      <c r="B49" s="7" t="s">
        <v>133</v>
      </c>
      <c r="C49" s="7" t="s">
        <v>883</v>
      </c>
      <c r="D49" s="3"/>
    </row>
    <row r="50" spans="1:4" x14ac:dyDescent="0.3">
      <c r="A50" s="5" t="s">
        <v>56</v>
      </c>
      <c r="B50" s="7" t="s">
        <v>57</v>
      </c>
      <c r="C50" s="7" t="s">
        <v>3612</v>
      </c>
      <c r="D50" s="3"/>
    </row>
    <row r="51" spans="1:4" x14ac:dyDescent="0.3">
      <c r="A51" s="5" t="s">
        <v>58</v>
      </c>
      <c r="B51" s="7" t="s">
        <v>59</v>
      </c>
      <c r="C51" s="7" t="s">
        <v>3612</v>
      </c>
      <c r="D51" s="3"/>
    </row>
    <row r="52" spans="1:4" x14ac:dyDescent="0.3">
      <c r="A52" s="5" t="s">
        <v>60</v>
      </c>
      <c r="B52" s="7" t="s">
        <v>330</v>
      </c>
      <c r="C52" s="7" t="s">
        <v>3613</v>
      </c>
      <c r="D52" s="3"/>
    </row>
    <row r="53" spans="1:4" x14ac:dyDescent="0.3">
      <c r="A53" s="5" t="s">
        <v>61</v>
      </c>
      <c r="B53" s="7" t="s">
        <v>331</v>
      </c>
      <c r="C53" s="7" t="s">
        <v>876</v>
      </c>
      <c r="D53" s="3"/>
    </row>
    <row r="54" spans="1:4" x14ac:dyDescent="0.3">
      <c r="A54" s="5" t="s">
        <v>62</v>
      </c>
      <c r="B54" s="7" t="s">
        <v>332</v>
      </c>
      <c r="C54" s="7" t="s">
        <v>570</v>
      </c>
      <c r="D54" s="3"/>
    </row>
    <row r="55" spans="1:4" x14ac:dyDescent="0.3">
      <c r="A55" s="5" t="s">
        <v>63</v>
      </c>
      <c r="B55" s="7" t="s">
        <v>64</v>
      </c>
      <c r="C55" s="7" t="s">
        <v>799</v>
      </c>
      <c r="D55" s="3"/>
    </row>
    <row r="56" spans="1:4" x14ac:dyDescent="0.3">
      <c r="A56" s="5" t="s">
        <v>65</v>
      </c>
      <c r="B56" s="7" t="s">
        <v>66</v>
      </c>
      <c r="C56" s="7" t="s">
        <v>3614</v>
      </c>
      <c r="D56" s="3"/>
    </row>
    <row r="57" spans="1:4" x14ac:dyDescent="0.3">
      <c r="A57" s="5" t="s">
        <v>67</v>
      </c>
      <c r="B57" s="7" t="s">
        <v>333</v>
      </c>
      <c r="C57" s="7" t="s">
        <v>573</v>
      </c>
      <c r="D57" s="3"/>
    </row>
    <row r="58" spans="1:4" x14ac:dyDescent="0.3">
      <c r="A58" s="5" t="s">
        <v>68</v>
      </c>
      <c r="B58" s="7" t="s">
        <v>69</v>
      </c>
      <c r="C58" s="7" t="s">
        <v>943</v>
      </c>
      <c r="D58" s="3"/>
    </row>
    <row r="59" spans="1:4" x14ac:dyDescent="0.3">
      <c r="A59" s="5" t="s">
        <v>70</v>
      </c>
      <c r="B59" s="7" t="s">
        <v>334</v>
      </c>
      <c r="C59" s="7" t="s">
        <v>573</v>
      </c>
      <c r="D59" s="3"/>
    </row>
    <row r="60" spans="1:4" x14ac:dyDescent="0.3">
      <c r="A60" s="5" t="s">
        <v>71</v>
      </c>
      <c r="B60" s="7" t="s">
        <v>335</v>
      </c>
      <c r="C60" s="7" t="s">
        <v>747</v>
      </c>
      <c r="D60" s="3"/>
    </row>
    <row r="61" spans="1:4" x14ac:dyDescent="0.3">
      <c r="A61" s="5" t="s">
        <v>72</v>
      </c>
      <c r="B61" s="7" t="s">
        <v>336</v>
      </c>
      <c r="C61" s="7" t="s">
        <v>747</v>
      </c>
      <c r="D61" s="3"/>
    </row>
    <row r="62" spans="1:4" x14ac:dyDescent="0.3">
      <c r="A62" s="5" t="s">
        <v>73</v>
      </c>
      <c r="B62" s="7" t="s">
        <v>337</v>
      </c>
      <c r="C62" s="7" t="s">
        <v>576</v>
      </c>
      <c r="D62" s="3"/>
    </row>
    <row r="63" spans="1:4" x14ac:dyDescent="0.3">
      <c r="A63" s="5" t="s">
        <v>74</v>
      </c>
      <c r="B63" s="7" t="s">
        <v>338</v>
      </c>
      <c r="C63" s="7" t="s">
        <v>943</v>
      </c>
      <c r="D63" s="3"/>
    </row>
    <row r="64" spans="1:4" x14ac:dyDescent="0.3">
      <c r="A64" s="5" t="s">
        <v>75</v>
      </c>
      <c r="B64" s="7" t="s">
        <v>339</v>
      </c>
      <c r="C64" s="7" t="s">
        <v>696</v>
      </c>
      <c r="D64" s="3"/>
    </row>
    <row r="65" spans="1:4" x14ac:dyDescent="0.3">
      <c r="A65" s="5" t="s">
        <v>76</v>
      </c>
      <c r="B65" s="7" t="s">
        <v>340</v>
      </c>
      <c r="C65" s="7" t="s">
        <v>696</v>
      </c>
      <c r="D65" s="3"/>
    </row>
    <row r="66" spans="1:4" x14ac:dyDescent="0.3">
      <c r="A66" s="5" t="s">
        <v>77</v>
      </c>
      <c r="B66" s="7" t="s">
        <v>78</v>
      </c>
      <c r="C66" s="7" t="s">
        <v>3615</v>
      </c>
      <c r="D66" s="3"/>
    </row>
    <row r="67" spans="1:4" x14ac:dyDescent="0.3">
      <c r="A67" s="5" t="s">
        <v>79</v>
      </c>
      <c r="B67" s="7" t="s">
        <v>341</v>
      </c>
      <c r="C67" s="7" t="s">
        <v>579</v>
      </c>
      <c r="D67" s="3"/>
    </row>
    <row r="68" spans="1:4" x14ac:dyDescent="0.3">
      <c r="A68" s="5" t="s">
        <v>80</v>
      </c>
      <c r="B68" s="7" t="s">
        <v>81</v>
      </c>
      <c r="C68" s="7" t="s">
        <v>3616</v>
      </c>
      <c r="D68" s="3"/>
    </row>
    <row r="69" spans="1:4" x14ac:dyDescent="0.3">
      <c r="A69" s="5" t="s">
        <v>82</v>
      </c>
      <c r="B69" s="7" t="s">
        <v>342</v>
      </c>
      <c r="C69" s="7" t="s">
        <v>730</v>
      </c>
      <c r="D69" s="3"/>
    </row>
    <row r="70" spans="1:4" x14ac:dyDescent="0.3">
      <c r="A70" s="5" t="s">
        <v>83</v>
      </c>
      <c r="B70" s="7" t="s">
        <v>343</v>
      </c>
      <c r="C70" s="7" t="s">
        <v>730</v>
      </c>
      <c r="D70" s="3"/>
    </row>
    <row r="71" spans="1:4" x14ac:dyDescent="0.3">
      <c r="A71" s="5" t="s">
        <v>84</v>
      </c>
      <c r="B71" s="7" t="s">
        <v>344</v>
      </c>
      <c r="C71" s="7" t="s">
        <v>794</v>
      </c>
      <c r="D71" s="3"/>
    </row>
    <row r="72" spans="1:4" x14ac:dyDescent="0.3">
      <c r="A72" s="5" t="s">
        <v>85</v>
      </c>
      <c r="B72" s="7" t="s">
        <v>345</v>
      </c>
      <c r="C72" s="7" t="s">
        <v>794</v>
      </c>
      <c r="D72" s="3"/>
    </row>
    <row r="73" spans="1:4" x14ac:dyDescent="0.3">
      <c r="A73" s="5" t="s">
        <v>86</v>
      </c>
      <c r="B73" s="7" t="s">
        <v>346</v>
      </c>
      <c r="C73" s="7" t="s">
        <v>3617</v>
      </c>
      <c r="D73" s="3"/>
    </row>
    <row r="74" spans="1:4" x14ac:dyDescent="0.3">
      <c r="A74" s="5" t="s">
        <v>87</v>
      </c>
      <c r="B74" s="4" t="s">
        <v>449</v>
      </c>
      <c r="C74" s="4" t="s">
        <v>617</v>
      </c>
      <c r="D74" s="3"/>
    </row>
    <row r="75" spans="1:4" x14ac:dyDescent="0.3">
      <c r="A75" s="5" t="s">
        <v>88</v>
      </c>
      <c r="B75" s="7" t="s">
        <v>104</v>
      </c>
      <c r="C75" s="7" t="s">
        <v>617</v>
      </c>
      <c r="D75" s="3"/>
    </row>
    <row r="76" spans="1:4" x14ac:dyDescent="0.3">
      <c r="A76" s="5" t="s">
        <v>89</v>
      </c>
      <c r="B76" s="7" t="s">
        <v>347</v>
      </c>
      <c r="C76" s="7" t="s">
        <v>721</v>
      </c>
      <c r="D76" s="3"/>
    </row>
    <row r="77" spans="1:4" x14ac:dyDescent="0.3">
      <c r="A77" s="5" t="s">
        <v>90</v>
      </c>
      <c r="B77" s="7" t="s">
        <v>348</v>
      </c>
      <c r="C77" s="7" t="s">
        <v>670</v>
      </c>
      <c r="D77" s="3"/>
    </row>
    <row r="78" spans="1:4" x14ac:dyDescent="0.3">
      <c r="A78" s="5" t="s">
        <v>91</v>
      </c>
      <c r="B78" s="7" t="s">
        <v>349</v>
      </c>
      <c r="C78" s="7" t="s">
        <v>670</v>
      </c>
      <c r="D78" s="3"/>
    </row>
    <row r="79" spans="1:4" x14ac:dyDescent="0.3">
      <c r="A79" s="5" t="s">
        <v>92</v>
      </c>
      <c r="B79" s="7" t="s">
        <v>350</v>
      </c>
      <c r="C79" s="7" t="s">
        <v>746</v>
      </c>
      <c r="D79" s="3"/>
    </row>
    <row r="80" spans="1:4" x14ac:dyDescent="0.3">
      <c r="A80" s="5" t="s">
        <v>93</v>
      </c>
      <c r="B80" s="7" t="s">
        <v>94</v>
      </c>
      <c r="C80" s="7" t="s">
        <v>638</v>
      </c>
      <c r="D80" s="3"/>
    </row>
    <row r="81" spans="1:4" x14ac:dyDescent="0.3">
      <c r="A81" s="5" t="s">
        <v>95</v>
      </c>
      <c r="B81" s="7" t="s">
        <v>351</v>
      </c>
      <c r="C81" s="7" t="s">
        <v>852</v>
      </c>
      <c r="D81" s="3"/>
    </row>
    <row r="82" spans="1:4" x14ac:dyDescent="0.3">
      <c r="A82" s="5" t="s">
        <v>96</v>
      </c>
      <c r="B82" s="7" t="s">
        <v>103</v>
      </c>
      <c r="C82" s="7" t="s">
        <v>3618</v>
      </c>
      <c r="D82" s="3"/>
    </row>
    <row r="83" spans="1:4" x14ac:dyDescent="0.3">
      <c r="A83" s="5" t="s">
        <v>97</v>
      </c>
      <c r="B83" s="7" t="s">
        <v>99</v>
      </c>
      <c r="C83" s="7" t="s">
        <v>585</v>
      </c>
      <c r="D83" s="3"/>
    </row>
    <row r="84" spans="1:4" x14ac:dyDescent="0.3">
      <c r="A84" s="5" t="s">
        <v>98</v>
      </c>
      <c r="B84" s="7" t="s">
        <v>352</v>
      </c>
      <c r="C84" s="7" t="s">
        <v>584</v>
      </c>
      <c r="D84" s="3"/>
    </row>
    <row r="85" spans="1:4" x14ac:dyDescent="0.3">
      <c r="A85" s="5" t="s">
        <v>100</v>
      </c>
      <c r="B85" s="7" t="s">
        <v>353</v>
      </c>
      <c r="C85" s="7" t="s">
        <v>721</v>
      </c>
      <c r="D85" s="3"/>
    </row>
    <row r="86" spans="1:4" x14ac:dyDescent="0.3">
      <c r="A86" s="5" t="s">
        <v>101</v>
      </c>
      <c r="B86" s="7" t="s">
        <v>354</v>
      </c>
      <c r="C86" s="7" t="s">
        <v>601</v>
      </c>
      <c r="D86" s="3"/>
    </row>
    <row r="87" spans="1:4" x14ac:dyDescent="0.3">
      <c r="A87" s="5" t="s">
        <v>102</v>
      </c>
      <c r="B87" s="7" t="s">
        <v>355</v>
      </c>
      <c r="C87" s="7" t="s">
        <v>601</v>
      </c>
      <c r="D87" s="3"/>
    </row>
    <row r="88" spans="1:4" x14ac:dyDescent="0.3">
      <c r="A88" s="5" t="s">
        <v>105</v>
      </c>
      <c r="B88" s="7" t="s">
        <v>356</v>
      </c>
      <c r="C88" s="7" t="s">
        <v>694</v>
      </c>
      <c r="D88" s="3"/>
    </row>
    <row r="89" spans="1:4" x14ac:dyDescent="0.3">
      <c r="A89" s="5" t="s">
        <v>106</v>
      </c>
      <c r="B89" s="7" t="s">
        <v>117</v>
      </c>
      <c r="C89" s="7" t="s">
        <v>694</v>
      </c>
      <c r="D89" s="3"/>
    </row>
    <row r="90" spans="1:4" x14ac:dyDescent="0.3">
      <c r="A90" s="5" t="s">
        <v>107</v>
      </c>
      <c r="B90" s="7" t="s">
        <v>108</v>
      </c>
      <c r="C90" s="7" t="s">
        <v>3619</v>
      </c>
      <c r="D90" s="3"/>
    </row>
    <row r="91" spans="1:4" x14ac:dyDescent="0.3">
      <c r="A91" s="5" t="s">
        <v>109</v>
      </c>
      <c r="B91" s="7" t="s">
        <v>110</v>
      </c>
      <c r="C91" s="7" t="s">
        <v>865</v>
      </c>
      <c r="D91" s="3"/>
    </row>
    <row r="92" spans="1:4" x14ac:dyDescent="0.3">
      <c r="A92" s="5" t="s">
        <v>111</v>
      </c>
      <c r="B92" s="7" t="s">
        <v>450</v>
      </c>
      <c r="C92" s="7" t="s">
        <v>3620</v>
      </c>
      <c r="D92" s="3"/>
    </row>
    <row r="93" spans="1:4" x14ac:dyDescent="0.3">
      <c r="A93" s="5" t="s">
        <v>112</v>
      </c>
      <c r="B93" s="7" t="s">
        <v>357</v>
      </c>
      <c r="C93" s="7" t="s">
        <v>598</v>
      </c>
      <c r="D93" s="3"/>
    </row>
    <row r="94" spans="1:4" x14ac:dyDescent="0.3">
      <c r="A94" s="5" t="s">
        <v>113</v>
      </c>
      <c r="B94" s="7" t="s">
        <v>114</v>
      </c>
      <c r="C94" s="7" t="s">
        <v>768</v>
      </c>
      <c r="D94" s="3"/>
    </row>
    <row r="95" spans="1:4" x14ac:dyDescent="0.3">
      <c r="A95" s="5" t="s">
        <v>115</v>
      </c>
      <c r="B95" s="7" t="s">
        <v>116</v>
      </c>
      <c r="C95" s="7" t="s">
        <v>768</v>
      </c>
      <c r="D95" s="3"/>
    </row>
    <row r="96" spans="1:4" x14ac:dyDescent="0.3">
      <c r="A96" s="5" t="s">
        <v>118</v>
      </c>
      <c r="B96" s="7" t="s">
        <v>358</v>
      </c>
      <c r="C96" s="7" t="s">
        <v>605</v>
      </c>
      <c r="D96" s="3"/>
    </row>
    <row r="97" spans="1:4" x14ac:dyDescent="0.3">
      <c r="A97" s="5" t="s">
        <v>119</v>
      </c>
      <c r="B97" s="7" t="s">
        <v>120</v>
      </c>
      <c r="C97" s="7" t="s">
        <v>623</v>
      </c>
      <c r="D97" s="3"/>
    </row>
    <row r="98" spans="1:4" x14ac:dyDescent="0.3">
      <c r="A98" s="5" t="s">
        <v>121</v>
      </c>
      <c r="B98" s="7" t="s">
        <v>122</v>
      </c>
      <c r="C98" s="7" t="s">
        <v>3621</v>
      </c>
      <c r="D98" s="3"/>
    </row>
    <row r="99" spans="1:4" x14ac:dyDescent="0.3">
      <c r="A99" s="5" t="s">
        <v>123</v>
      </c>
      <c r="B99" s="7" t="s">
        <v>359</v>
      </c>
      <c r="C99" s="7" t="s">
        <v>621</v>
      </c>
      <c r="D99" s="3"/>
    </row>
    <row r="100" spans="1:4" x14ac:dyDescent="0.3">
      <c r="A100" s="5" t="s">
        <v>124</v>
      </c>
      <c r="B100" s="7" t="s">
        <v>360</v>
      </c>
      <c r="C100" s="7" t="s">
        <v>621</v>
      </c>
      <c r="D100" s="3"/>
    </row>
    <row r="101" spans="1:4" x14ac:dyDescent="0.3">
      <c r="A101" s="5" t="s">
        <v>125</v>
      </c>
      <c r="B101" s="7" t="s">
        <v>361</v>
      </c>
      <c r="C101" s="7" t="s">
        <v>727</v>
      </c>
      <c r="D101" s="3"/>
    </row>
    <row r="102" spans="1:4" x14ac:dyDescent="0.3">
      <c r="A102" s="5" t="s">
        <v>126</v>
      </c>
      <c r="B102" s="7" t="s">
        <v>127</v>
      </c>
      <c r="C102" s="7" t="s">
        <v>727</v>
      </c>
      <c r="D102" s="3"/>
    </row>
    <row r="103" spans="1:4" x14ac:dyDescent="0.3">
      <c r="A103" s="5" t="s">
        <v>128</v>
      </c>
      <c r="B103" s="7" t="s">
        <v>362</v>
      </c>
      <c r="C103" s="7" t="s">
        <v>941</v>
      </c>
      <c r="D103" s="3"/>
    </row>
    <row r="104" spans="1:4" x14ac:dyDescent="0.3">
      <c r="A104" s="5" t="s">
        <v>129</v>
      </c>
      <c r="B104" s="7" t="s">
        <v>363</v>
      </c>
      <c r="C104" s="7" t="s">
        <v>941</v>
      </c>
      <c r="D104" s="3"/>
    </row>
    <row r="105" spans="1:4" x14ac:dyDescent="0.3">
      <c r="A105" s="5" t="s">
        <v>130</v>
      </c>
      <c r="B105" s="7" t="s">
        <v>364</v>
      </c>
      <c r="C105" s="7" t="s">
        <v>631</v>
      </c>
      <c r="D105" s="3"/>
    </row>
    <row r="106" spans="1:4" x14ac:dyDescent="0.3">
      <c r="A106" s="5" t="s">
        <v>131</v>
      </c>
      <c r="B106" s="7" t="s">
        <v>365</v>
      </c>
      <c r="C106" s="7" t="s">
        <v>631</v>
      </c>
      <c r="D106" s="3"/>
    </row>
    <row r="107" spans="1:4" x14ac:dyDescent="0.3">
      <c r="A107" s="5" t="s">
        <v>132</v>
      </c>
      <c r="B107" s="4" t="s">
        <v>444</v>
      </c>
      <c r="C107" s="4" t="s">
        <v>3622</v>
      </c>
      <c r="D107" s="3"/>
    </row>
    <row r="108" spans="1:4" x14ac:dyDescent="0.3">
      <c r="A108" s="5" t="s">
        <v>135</v>
      </c>
      <c r="B108" s="7" t="s">
        <v>366</v>
      </c>
      <c r="C108" s="7" t="s">
        <v>3622</v>
      </c>
      <c r="D108" s="3"/>
    </row>
    <row r="109" spans="1:4" x14ac:dyDescent="0.3">
      <c r="A109" s="5" t="s">
        <v>136</v>
      </c>
      <c r="B109" s="7" t="s">
        <v>367</v>
      </c>
      <c r="C109" s="7" t="s">
        <v>709</v>
      </c>
      <c r="D109" s="3"/>
    </row>
    <row r="110" spans="1:4" x14ac:dyDescent="0.3">
      <c r="A110" s="5" t="s">
        <v>137</v>
      </c>
      <c r="B110" s="7" t="s">
        <v>368</v>
      </c>
      <c r="C110" s="7" t="s">
        <v>640</v>
      </c>
      <c r="D110" s="3"/>
    </row>
    <row r="111" spans="1:4" x14ac:dyDescent="0.3">
      <c r="A111" s="5" t="s">
        <v>138</v>
      </c>
      <c r="B111" s="7" t="s">
        <v>369</v>
      </c>
      <c r="C111" s="7" t="s">
        <v>3623</v>
      </c>
      <c r="D111" s="3"/>
    </row>
    <row r="112" spans="1:4" x14ac:dyDescent="0.3">
      <c r="A112" s="5" t="s">
        <v>139</v>
      </c>
      <c r="B112" s="7" t="s">
        <v>140</v>
      </c>
      <c r="C112" s="7" t="s">
        <v>3623</v>
      </c>
      <c r="D112" s="3"/>
    </row>
    <row r="113" spans="1:4" x14ac:dyDescent="0.3">
      <c r="A113" s="5" t="s">
        <v>141</v>
      </c>
      <c r="B113" s="7" t="s">
        <v>142</v>
      </c>
      <c r="C113" s="7" t="s">
        <v>3624</v>
      </c>
      <c r="D113" s="3"/>
    </row>
    <row r="114" spans="1:4" x14ac:dyDescent="0.3">
      <c r="A114" s="5" t="s">
        <v>143</v>
      </c>
      <c r="B114" s="7" t="s">
        <v>370</v>
      </c>
      <c r="C114" s="7" t="s">
        <v>647</v>
      </c>
      <c r="D114" s="3"/>
    </row>
    <row r="115" spans="1:4" x14ac:dyDescent="0.3">
      <c r="A115" s="5" t="s">
        <v>144</v>
      </c>
      <c r="B115" s="7" t="s">
        <v>371</v>
      </c>
      <c r="C115" s="7" t="s">
        <v>647</v>
      </c>
      <c r="D115" s="3"/>
    </row>
    <row r="116" spans="1:4" x14ac:dyDescent="0.3">
      <c r="A116" s="5" t="s">
        <v>145</v>
      </c>
      <c r="B116" s="7" t="s">
        <v>372</v>
      </c>
      <c r="C116" s="7" t="s">
        <v>3625</v>
      </c>
      <c r="D116" s="3"/>
    </row>
    <row r="117" spans="1:4" x14ac:dyDescent="0.3">
      <c r="A117" s="5" t="s">
        <v>146</v>
      </c>
      <c r="B117" s="7" t="s">
        <v>373</v>
      </c>
      <c r="C117" s="7" t="s">
        <v>3613</v>
      </c>
      <c r="D117" s="3"/>
    </row>
    <row r="118" spans="1:4" x14ac:dyDescent="0.3">
      <c r="A118" s="5" t="s">
        <v>147</v>
      </c>
      <c r="B118" s="7" t="s">
        <v>374</v>
      </c>
      <c r="C118" s="7" t="s">
        <v>3626</v>
      </c>
      <c r="D118" s="3"/>
    </row>
    <row r="119" spans="1:4" x14ac:dyDescent="0.3">
      <c r="A119" s="5" t="s">
        <v>148</v>
      </c>
      <c r="B119" s="7" t="s">
        <v>375</v>
      </c>
      <c r="C119" s="7" t="s">
        <v>716</v>
      </c>
      <c r="D119" s="3"/>
    </row>
    <row r="120" spans="1:4" x14ac:dyDescent="0.3">
      <c r="A120" s="5" t="s">
        <v>149</v>
      </c>
      <c r="B120" s="7" t="s">
        <v>176</v>
      </c>
      <c r="C120" s="7" t="s">
        <v>716</v>
      </c>
      <c r="D120" s="3"/>
    </row>
    <row r="121" spans="1:4" x14ac:dyDescent="0.3">
      <c r="A121" s="5" t="s">
        <v>150</v>
      </c>
      <c r="B121" s="7" t="s">
        <v>376</v>
      </c>
      <c r="C121" s="7" t="s">
        <v>3627</v>
      </c>
      <c r="D121" s="3"/>
    </row>
    <row r="122" spans="1:4" x14ac:dyDescent="0.3">
      <c r="A122" s="5" t="s">
        <v>151</v>
      </c>
      <c r="B122" s="7" t="s">
        <v>377</v>
      </c>
      <c r="C122" s="7" t="s">
        <v>3628</v>
      </c>
      <c r="D122" s="3"/>
    </row>
    <row r="123" spans="1:4" x14ac:dyDescent="0.3">
      <c r="A123" s="5" t="s">
        <v>156</v>
      </c>
      <c r="B123" s="7" t="s">
        <v>379</v>
      </c>
      <c r="C123" s="7" t="s">
        <v>3629</v>
      </c>
      <c r="D123" s="3"/>
    </row>
    <row r="124" spans="1:4" x14ac:dyDescent="0.3">
      <c r="A124" s="5" t="s">
        <v>157</v>
      </c>
      <c r="B124" s="4" t="s">
        <v>458</v>
      </c>
      <c r="C124" s="4" t="s">
        <v>654</v>
      </c>
      <c r="D124" s="3"/>
    </row>
    <row r="125" spans="1:4" x14ac:dyDescent="0.3">
      <c r="A125" s="5" t="s">
        <v>158</v>
      </c>
      <c r="B125" s="7" t="s">
        <v>380</v>
      </c>
      <c r="C125" s="7" t="s">
        <v>819</v>
      </c>
      <c r="D125" s="3"/>
    </row>
    <row r="126" spans="1:4" x14ac:dyDescent="0.3">
      <c r="A126" s="5" t="s">
        <v>159</v>
      </c>
      <c r="B126" s="7" t="s">
        <v>160</v>
      </c>
      <c r="C126" s="7" t="s">
        <v>819</v>
      </c>
      <c r="D126" s="3"/>
    </row>
    <row r="127" spans="1:4" x14ac:dyDescent="0.3">
      <c r="A127" s="5" t="s">
        <v>161</v>
      </c>
      <c r="B127" s="7" t="s">
        <v>162</v>
      </c>
      <c r="C127" s="7" t="s">
        <v>906</v>
      </c>
      <c r="D127" s="3"/>
    </row>
    <row r="128" spans="1:4" x14ac:dyDescent="0.3">
      <c r="A128" s="5" t="s">
        <v>163</v>
      </c>
      <c r="B128" s="7" t="s">
        <v>164</v>
      </c>
      <c r="C128" s="7" t="s">
        <v>906</v>
      </c>
      <c r="D128" s="3"/>
    </row>
    <row r="129" spans="1:4" x14ac:dyDescent="0.3">
      <c r="A129" s="5" t="s">
        <v>165</v>
      </c>
      <c r="B129" s="7" t="s">
        <v>381</v>
      </c>
      <c r="C129" s="7" t="s">
        <v>878</v>
      </c>
      <c r="D129" s="3"/>
    </row>
    <row r="130" spans="1:4" x14ac:dyDescent="0.3">
      <c r="A130" s="5" t="s">
        <v>166</v>
      </c>
      <c r="B130" s="7" t="s">
        <v>382</v>
      </c>
      <c r="C130" s="7" t="s">
        <v>878</v>
      </c>
      <c r="D130" s="3"/>
    </row>
    <row r="131" spans="1:4" x14ac:dyDescent="0.3">
      <c r="A131" s="5" t="s">
        <v>167</v>
      </c>
      <c r="B131" s="7" t="s">
        <v>383</v>
      </c>
      <c r="C131" s="7" t="s">
        <v>745</v>
      </c>
      <c r="D131" s="3"/>
    </row>
    <row r="132" spans="1:4" x14ac:dyDescent="0.3">
      <c r="A132" s="5" t="s">
        <v>168</v>
      </c>
      <c r="B132" s="7" t="s">
        <v>384</v>
      </c>
      <c r="C132" s="7" t="s">
        <v>745</v>
      </c>
      <c r="D132" s="3"/>
    </row>
    <row r="133" spans="1:4" x14ac:dyDescent="0.3">
      <c r="A133" s="5" t="s">
        <v>169</v>
      </c>
      <c r="B133" s="7" t="s">
        <v>385</v>
      </c>
      <c r="C133" s="7" t="s">
        <v>845</v>
      </c>
      <c r="D133" s="3"/>
    </row>
    <row r="134" spans="1:4" x14ac:dyDescent="0.3">
      <c r="A134" s="5" t="s">
        <v>170</v>
      </c>
      <c r="B134" s="7" t="s">
        <v>386</v>
      </c>
      <c r="C134" s="7" t="s">
        <v>663</v>
      </c>
      <c r="D134" s="3"/>
    </row>
    <row r="135" spans="1:4" x14ac:dyDescent="0.3">
      <c r="A135" s="5" t="s">
        <v>171</v>
      </c>
      <c r="B135" s="7" t="s">
        <v>387</v>
      </c>
      <c r="C135" s="7" t="s">
        <v>663</v>
      </c>
      <c r="D135" s="3"/>
    </row>
    <row r="136" spans="1:4" x14ac:dyDescent="0.3">
      <c r="A136" s="5" t="s">
        <v>172</v>
      </c>
      <c r="B136" s="7" t="s">
        <v>173</v>
      </c>
      <c r="C136" s="7" t="s">
        <v>664</v>
      </c>
      <c r="D136" s="3"/>
    </row>
    <row r="137" spans="1:4" x14ac:dyDescent="0.3">
      <c r="A137" s="5" t="s">
        <v>174</v>
      </c>
      <c r="B137" s="7" t="s">
        <v>175</v>
      </c>
      <c r="C137" s="7" t="s">
        <v>664</v>
      </c>
      <c r="D137" s="3"/>
    </row>
    <row r="138" spans="1:4" x14ac:dyDescent="0.3">
      <c r="A138" s="5" t="s">
        <v>177</v>
      </c>
      <c r="B138" s="7" t="s">
        <v>388</v>
      </c>
      <c r="C138" s="7" t="s">
        <v>695</v>
      </c>
      <c r="D138" s="3"/>
    </row>
    <row r="139" spans="1:4" x14ac:dyDescent="0.3">
      <c r="A139" s="5" t="s">
        <v>178</v>
      </c>
      <c r="B139" s="7" t="s">
        <v>389</v>
      </c>
      <c r="C139" s="7" t="s">
        <v>673</v>
      </c>
      <c r="D139" s="3"/>
    </row>
    <row r="140" spans="1:4" x14ac:dyDescent="0.3">
      <c r="A140" s="5" t="s">
        <v>179</v>
      </c>
      <c r="B140" s="7" t="s">
        <v>258</v>
      </c>
      <c r="C140" s="7" t="s">
        <v>607</v>
      </c>
      <c r="D140" s="3"/>
    </row>
    <row r="141" spans="1:4" x14ac:dyDescent="0.3">
      <c r="A141" s="5" t="s">
        <v>180</v>
      </c>
      <c r="B141" s="7" t="s">
        <v>390</v>
      </c>
      <c r="C141" s="7" t="s">
        <v>677</v>
      </c>
      <c r="D141" s="3"/>
    </row>
    <row r="142" spans="1:4" x14ac:dyDescent="0.3">
      <c r="A142" s="5" t="s">
        <v>181</v>
      </c>
      <c r="B142" s="7" t="s">
        <v>391</v>
      </c>
      <c r="C142" s="7" t="s">
        <v>677</v>
      </c>
      <c r="D142" s="3"/>
    </row>
    <row r="143" spans="1:4" x14ac:dyDescent="0.3">
      <c r="A143" s="5" t="s">
        <v>182</v>
      </c>
      <c r="B143" s="7" t="s">
        <v>259</v>
      </c>
      <c r="C143" s="7" t="s">
        <v>755</v>
      </c>
      <c r="D143" s="3"/>
    </row>
    <row r="144" spans="1:4" x14ac:dyDescent="0.3">
      <c r="A144" s="5" t="s">
        <v>183</v>
      </c>
      <c r="B144" s="7" t="s">
        <v>260</v>
      </c>
      <c r="C144" s="7" t="s">
        <v>3630</v>
      </c>
      <c r="D144" s="3"/>
    </row>
    <row r="145" spans="1:4" x14ac:dyDescent="0.3">
      <c r="A145" s="5" t="s">
        <v>184</v>
      </c>
      <c r="B145" s="7" t="s">
        <v>392</v>
      </c>
      <c r="C145" s="7" t="s">
        <v>3591</v>
      </c>
      <c r="D145" s="3"/>
    </row>
    <row r="146" spans="1:4" x14ac:dyDescent="0.3">
      <c r="A146" s="5" t="s">
        <v>185</v>
      </c>
      <c r="B146" s="7" t="s">
        <v>261</v>
      </c>
      <c r="C146" s="7" t="s">
        <v>3591</v>
      </c>
      <c r="D146" s="3"/>
    </row>
    <row r="147" spans="1:4" x14ac:dyDescent="0.3">
      <c r="A147" s="5" t="s">
        <v>186</v>
      </c>
      <c r="B147" s="7" t="s">
        <v>262</v>
      </c>
      <c r="C147" s="7" t="s">
        <v>3631</v>
      </c>
      <c r="D147" s="3"/>
    </row>
    <row r="148" spans="1:4" x14ac:dyDescent="0.3">
      <c r="A148" s="5" t="s">
        <v>187</v>
      </c>
      <c r="B148" s="7" t="s">
        <v>263</v>
      </c>
      <c r="C148" s="7" t="s">
        <v>685</v>
      </c>
      <c r="D148" s="3"/>
    </row>
    <row r="149" spans="1:4" x14ac:dyDescent="0.3">
      <c r="A149" s="5" t="s">
        <v>188</v>
      </c>
      <c r="B149" s="7" t="s">
        <v>393</v>
      </c>
      <c r="C149" s="7" t="s">
        <v>3632</v>
      </c>
      <c r="D149" s="3"/>
    </row>
    <row r="150" spans="1:4" x14ac:dyDescent="0.3">
      <c r="A150" s="5" t="s">
        <v>189</v>
      </c>
      <c r="B150" s="7" t="s">
        <v>394</v>
      </c>
      <c r="C150" s="7" t="s">
        <v>3632</v>
      </c>
      <c r="D150" s="3"/>
    </row>
    <row r="151" spans="1:4" x14ac:dyDescent="0.3">
      <c r="A151" s="5" t="s">
        <v>190</v>
      </c>
      <c r="B151" s="7" t="s">
        <v>264</v>
      </c>
      <c r="C151" s="7" t="s">
        <v>3633</v>
      </c>
      <c r="D151" s="3"/>
    </row>
    <row r="152" spans="1:4" x14ac:dyDescent="0.3">
      <c r="A152" s="5" t="s">
        <v>191</v>
      </c>
      <c r="B152" s="7" t="s">
        <v>1040</v>
      </c>
      <c r="C152" s="7" t="s">
        <v>3633</v>
      </c>
      <c r="D152" s="3"/>
    </row>
    <row r="153" spans="1:4" x14ac:dyDescent="0.3">
      <c r="A153" s="5" t="s">
        <v>192</v>
      </c>
      <c r="B153" s="7" t="s">
        <v>395</v>
      </c>
      <c r="C153" s="7" t="s">
        <v>667</v>
      </c>
      <c r="D153" s="3"/>
    </row>
    <row r="154" spans="1:4" x14ac:dyDescent="0.3">
      <c r="A154" s="5" t="s">
        <v>193</v>
      </c>
      <c r="B154" s="7" t="s">
        <v>396</v>
      </c>
      <c r="C154" s="7" t="s">
        <v>667</v>
      </c>
      <c r="D154" s="3"/>
    </row>
    <row r="155" spans="1:4" x14ac:dyDescent="0.3">
      <c r="A155" s="5" t="s">
        <v>194</v>
      </c>
      <c r="B155" s="7" t="s">
        <v>265</v>
      </c>
      <c r="C155" s="7" t="s">
        <v>3634</v>
      </c>
      <c r="D155" s="3"/>
    </row>
    <row r="156" spans="1:4" x14ac:dyDescent="0.3">
      <c r="A156" s="5" t="s">
        <v>195</v>
      </c>
      <c r="B156" s="7" t="s">
        <v>397</v>
      </c>
      <c r="C156" s="7" t="s">
        <v>809</v>
      </c>
      <c r="D156" s="3"/>
    </row>
    <row r="157" spans="1:4" x14ac:dyDescent="0.3">
      <c r="A157" s="5" t="s">
        <v>197</v>
      </c>
      <c r="B157" s="7" t="s">
        <v>533</v>
      </c>
      <c r="C157" s="7" t="s">
        <v>3635</v>
      </c>
      <c r="D157" s="3"/>
    </row>
    <row r="158" spans="1:4" x14ac:dyDescent="0.3">
      <c r="A158" s="5" t="s">
        <v>198</v>
      </c>
      <c r="B158" s="7" t="s">
        <v>398</v>
      </c>
      <c r="C158" s="7" t="s">
        <v>3635</v>
      </c>
      <c r="D158" s="3"/>
    </row>
    <row r="159" spans="1:4" x14ac:dyDescent="0.3">
      <c r="A159" s="5" t="s">
        <v>199</v>
      </c>
      <c r="B159" s="7" t="s">
        <v>266</v>
      </c>
      <c r="C159" s="7" t="s">
        <v>777</v>
      </c>
      <c r="D159" s="3"/>
    </row>
    <row r="160" spans="1:4" x14ac:dyDescent="0.3">
      <c r="A160" s="5" t="s">
        <v>200</v>
      </c>
      <c r="B160" s="7" t="s">
        <v>267</v>
      </c>
      <c r="C160" s="7" t="s">
        <v>3636</v>
      </c>
      <c r="D160" s="3"/>
    </row>
    <row r="161" spans="1:4" x14ac:dyDescent="0.3">
      <c r="A161" s="5" t="s">
        <v>201</v>
      </c>
      <c r="B161" s="7" t="s">
        <v>268</v>
      </c>
      <c r="C161" s="7" t="s">
        <v>3636</v>
      </c>
      <c r="D161" s="3"/>
    </row>
    <row r="162" spans="1:4" x14ac:dyDescent="0.3">
      <c r="A162" s="5" t="s">
        <v>202</v>
      </c>
      <c r="B162" s="7" t="s">
        <v>399</v>
      </c>
      <c r="C162" s="7" t="s">
        <v>3592</v>
      </c>
      <c r="D162" s="3"/>
    </row>
    <row r="163" spans="1:4" x14ac:dyDescent="0.3">
      <c r="A163" s="5" t="s">
        <v>203</v>
      </c>
      <c r="B163" s="7" t="s">
        <v>269</v>
      </c>
      <c r="C163" s="7" t="s">
        <v>3637</v>
      </c>
      <c r="D163" s="3"/>
    </row>
    <row r="164" spans="1:4" x14ac:dyDescent="0.3">
      <c r="A164" s="5" t="s">
        <v>204</v>
      </c>
      <c r="B164" s="7" t="s">
        <v>400</v>
      </c>
      <c r="C164" s="7" t="s">
        <v>3593</v>
      </c>
      <c r="D164" s="3"/>
    </row>
    <row r="165" spans="1:4" x14ac:dyDescent="0.3">
      <c r="A165" s="5" t="s">
        <v>205</v>
      </c>
      <c r="B165" s="7" t="s">
        <v>401</v>
      </c>
      <c r="C165" s="7" t="s">
        <v>3593</v>
      </c>
      <c r="D165" s="3"/>
    </row>
    <row r="166" spans="1:4" x14ac:dyDescent="0.3">
      <c r="A166" s="5" t="s">
        <v>206</v>
      </c>
      <c r="B166" s="7" t="s">
        <v>402</v>
      </c>
      <c r="C166" s="7" t="s">
        <v>3628</v>
      </c>
      <c r="D166" s="3"/>
    </row>
    <row r="167" spans="1:4" x14ac:dyDescent="0.3">
      <c r="A167" s="5" t="s">
        <v>207</v>
      </c>
      <c r="B167" s="7" t="s">
        <v>403</v>
      </c>
      <c r="C167" s="7" t="s">
        <v>3638</v>
      </c>
      <c r="D167" s="3"/>
    </row>
    <row r="168" spans="1:4" x14ac:dyDescent="0.3">
      <c r="A168" s="5" t="s">
        <v>208</v>
      </c>
      <c r="B168" s="7" t="s">
        <v>404</v>
      </c>
      <c r="C168" s="7" t="s">
        <v>3638</v>
      </c>
      <c r="D168" s="3"/>
    </row>
    <row r="169" spans="1:4" x14ac:dyDescent="0.3">
      <c r="A169" s="5" t="s">
        <v>209</v>
      </c>
      <c r="B169" s="7" t="s">
        <v>405</v>
      </c>
      <c r="C169" s="7" t="s">
        <v>3639</v>
      </c>
      <c r="D169" s="3"/>
    </row>
    <row r="170" spans="1:4" x14ac:dyDescent="0.3">
      <c r="A170" s="5" t="s">
        <v>210</v>
      </c>
      <c r="B170" s="7" t="s">
        <v>270</v>
      </c>
      <c r="C170" s="7" t="s">
        <v>3640</v>
      </c>
      <c r="D170" s="3"/>
    </row>
    <row r="171" spans="1:4" x14ac:dyDescent="0.3">
      <c r="A171" s="5" t="s">
        <v>211</v>
      </c>
      <c r="B171" s="7" t="s">
        <v>406</v>
      </c>
      <c r="C171" s="7" t="s">
        <v>3594</v>
      </c>
      <c r="D171" s="3"/>
    </row>
    <row r="172" spans="1:4" x14ac:dyDescent="0.3">
      <c r="A172" s="5" t="s">
        <v>212</v>
      </c>
      <c r="B172" s="7" t="s">
        <v>407</v>
      </c>
      <c r="C172" s="7" t="s">
        <v>3595</v>
      </c>
      <c r="D172" s="3"/>
    </row>
    <row r="173" spans="1:4" x14ac:dyDescent="0.3">
      <c r="A173" s="5" t="s">
        <v>213</v>
      </c>
      <c r="B173" s="7" t="s">
        <v>408</v>
      </c>
      <c r="C173" s="7" t="s">
        <v>3595</v>
      </c>
      <c r="D173" s="3"/>
    </row>
    <row r="174" spans="1:4" x14ac:dyDescent="0.3">
      <c r="A174" s="5" t="s">
        <v>214</v>
      </c>
      <c r="B174" s="7" t="s">
        <v>409</v>
      </c>
      <c r="C174" s="7" t="s">
        <v>3626</v>
      </c>
      <c r="D174" s="3"/>
    </row>
    <row r="175" spans="1:4" x14ac:dyDescent="0.3">
      <c r="A175" s="5" t="s">
        <v>215</v>
      </c>
      <c r="B175" s="7" t="s">
        <v>410</v>
      </c>
      <c r="C175" s="7" t="s">
        <v>3626</v>
      </c>
      <c r="D175" s="3"/>
    </row>
    <row r="176" spans="1:4" x14ac:dyDescent="0.3">
      <c r="A176" s="5" t="s">
        <v>216</v>
      </c>
      <c r="B176" s="7" t="s">
        <v>411</v>
      </c>
      <c r="C176" s="7" t="s">
        <v>3596</v>
      </c>
      <c r="D176" s="3"/>
    </row>
    <row r="177" spans="1:4" x14ac:dyDescent="0.3">
      <c r="A177" s="5" t="s">
        <v>217</v>
      </c>
      <c r="B177" s="7" t="s">
        <v>271</v>
      </c>
      <c r="C177" s="7" t="s">
        <v>3641</v>
      </c>
      <c r="D177" s="3"/>
    </row>
    <row r="178" spans="1:4" x14ac:dyDescent="0.3">
      <c r="A178" s="5" t="s">
        <v>218</v>
      </c>
      <c r="B178" s="7" t="s">
        <v>412</v>
      </c>
      <c r="C178" s="7" t="s">
        <v>3597</v>
      </c>
      <c r="D178" s="3"/>
    </row>
    <row r="179" spans="1:4" x14ac:dyDescent="0.3">
      <c r="A179" s="5" t="s">
        <v>219</v>
      </c>
      <c r="B179" s="7" t="s">
        <v>413</v>
      </c>
      <c r="C179" s="7" t="s">
        <v>3597</v>
      </c>
      <c r="D179" s="3"/>
    </row>
    <row r="180" spans="1:4" x14ac:dyDescent="0.3">
      <c r="A180" s="5" t="s">
        <v>220</v>
      </c>
      <c r="B180" s="7" t="s">
        <v>428</v>
      </c>
      <c r="C180" s="7" t="s">
        <v>869</v>
      </c>
      <c r="D180" s="3"/>
    </row>
    <row r="181" spans="1:4" x14ac:dyDescent="0.3">
      <c r="A181" s="5" t="s">
        <v>221</v>
      </c>
      <c r="B181" s="7" t="s">
        <v>414</v>
      </c>
      <c r="C181" s="7" t="s">
        <v>869</v>
      </c>
      <c r="D181" s="3"/>
    </row>
    <row r="182" spans="1:4" x14ac:dyDescent="0.3">
      <c r="A182" s="5" t="s">
        <v>222</v>
      </c>
      <c r="B182" s="7" t="s">
        <v>272</v>
      </c>
      <c r="C182" s="7" t="s">
        <v>3642</v>
      </c>
      <c r="D182" s="3"/>
    </row>
    <row r="183" spans="1:4" x14ac:dyDescent="0.3">
      <c r="A183" s="5" t="s">
        <v>223</v>
      </c>
      <c r="B183" s="7" t="s">
        <v>273</v>
      </c>
      <c r="C183" s="7" t="s">
        <v>3642</v>
      </c>
      <c r="D183" s="3"/>
    </row>
    <row r="184" spans="1:4" x14ac:dyDescent="0.3">
      <c r="A184" s="5" t="s">
        <v>224</v>
      </c>
      <c r="B184" s="7" t="s">
        <v>415</v>
      </c>
      <c r="C184" s="7" t="s">
        <v>3598</v>
      </c>
      <c r="D184" s="3"/>
    </row>
    <row r="185" spans="1:4" x14ac:dyDescent="0.3">
      <c r="A185" s="5" t="s">
        <v>225</v>
      </c>
      <c r="B185" s="7" t="s">
        <v>416</v>
      </c>
      <c r="C185" s="7" t="s">
        <v>3599</v>
      </c>
      <c r="D185" s="3"/>
    </row>
    <row r="186" spans="1:4" x14ac:dyDescent="0.3">
      <c r="A186" s="5" t="s">
        <v>226</v>
      </c>
      <c r="B186" s="7" t="s">
        <v>274</v>
      </c>
      <c r="C186" s="7" t="s">
        <v>3643</v>
      </c>
      <c r="D186" s="3"/>
    </row>
    <row r="187" spans="1:4" x14ac:dyDescent="0.3">
      <c r="A187" s="5" t="s">
        <v>227</v>
      </c>
      <c r="B187" s="7" t="s">
        <v>417</v>
      </c>
      <c r="C187" s="7" t="s">
        <v>3600</v>
      </c>
      <c r="D187" s="3"/>
    </row>
    <row r="188" spans="1:4" x14ac:dyDescent="0.3">
      <c r="A188" s="5" t="s">
        <v>228</v>
      </c>
      <c r="B188" s="7" t="s">
        <v>418</v>
      </c>
      <c r="C188" s="7" t="s">
        <v>3601</v>
      </c>
      <c r="D188" s="3"/>
    </row>
    <row r="189" spans="1:4" x14ac:dyDescent="0.3">
      <c r="A189" s="5" t="s">
        <v>229</v>
      </c>
      <c r="B189" s="7" t="s">
        <v>419</v>
      </c>
      <c r="C189" s="7" t="s">
        <v>3599</v>
      </c>
      <c r="D189" s="3"/>
    </row>
    <row r="190" spans="1:4" x14ac:dyDescent="0.3">
      <c r="A190" s="5" t="s">
        <v>230</v>
      </c>
      <c r="B190" s="7" t="s">
        <v>275</v>
      </c>
      <c r="C190" s="7" t="s">
        <v>3637</v>
      </c>
      <c r="D190" s="3"/>
    </row>
    <row r="191" spans="1:4" x14ac:dyDescent="0.3">
      <c r="A191" s="5" t="s">
        <v>231</v>
      </c>
      <c r="B191" s="7" t="s">
        <v>276</v>
      </c>
      <c r="C191" s="7" t="s">
        <v>3644</v>
      </c>
      <c r="D191" s="3"/>
    </row>
    <row r="192" spans="1:4" x14ac:dyDescent="0.3">
      <c r="A192" s="5" t="s">
        <v>232</v>
      </c>
      <c r="B192" s="7" t="s">
        <v>420</v>
      </c>
      <c r="C192" s="7" t="s">
        <v>3645</v>
      </c>
      <c r="D192" s="3"/>
    </row>
    <row r="193" spans="1:4" x14ac:dyDescent="0.3">
      <c r="A193" s="5" t="s">
        <v>233</v>
      </c>
      <c r="B193" s="7" t="s">
        <v>277</v>
      </c>
      <c r="C193" s="7" t="s">
        <v>927</v>
      </c>
      <c r="D193" s="3"/>
    </row>
    <row r="194" spans="1:4" x14ac:dyDescent="0.3">
      <c r="A194" s="5" t="s">
        <v>234</v>
      </c>
      <c r="B194" s="7" t="s">
        <v>278</v>
      </c>
      <c r="C194" s="7" t="s">
        <v>927</v>
      </c>
      <c r="D194" s="3"/>
    </row>
    <row r="195" spans="1:4" x14ac:dyDescent="0.3">
      <c r="A195" s="5" t="s">
        <v>235</v>
      </c>
      <c r="B195" s="7" t="s">
        <v>421</v>
      </c>
      <c r="C195" s="7" t="s">
        <v>3646</v>
      </c>
      <c r="D195" s="3"/>
    </row>
    <row r="196" spans="1:4" x14ac:dyDescent="0.3">
      <c r="A196" s="5" t="s">
        <v>236</v>
      </c>
      <c r="B196" s="7" t="s">
        <v>279</v>
      </c>
      <c r="C196" s="7" t="s">
        <v>3602</v>
      </c>
      <c r="D196" s="3"/>
    </row>
    <row r="197" spans="1:4" x14ac:dyDescent="0.3">
      <c r="A197" s="5" t="s">
        <v>237</v>
      </c>
      <c r="B197" s="7" t="s">
        <v>280</v>
      </c>
      <c r="C197" s="7" t="s">
        <v>3647</v>
      </c>
      <c r="D197" s="3"/>
    </row>
    <row r="198" spans="1:4" x14ac:dyDescent="0.3">
      <c r="A198" s="5" t="s">
        <v>239</v>
      </c>
      <c r="B198" s="7" t="s">
        <v>281</v>
      </c>
      <c r="C198" s="7" t="s">
        <v>3648</v>
      </c>
      <c r="D198" s="3"/>
    </row>
    <row r="199" spans="1:4" x14ac:dyDescent="0.3">
      <c r="A199" s="5" t="s">
        <v>241</v>
      </c>
      <c r="B199" s="7" t="s">
        <v>282</v>
      </c>
      <c r="C199" s="7" t="s">
        <v>3649</v>
      </c>
      <c r="D199" s="3"/>
    </row>
    <row r="200" spans="1:4" x14ac:dyDescent="0.3">
      <c r="A200" s="5" t="s">
        <v>242</v>
      </c>
      <c r="B200" s="7" t="s">
        <v>283</v>
      </c>
      <c r="C200" s="7" t="s">
        <v>3650</v>
      </c>
      <c r="D200" s="3"/>
    </row>
    <row r="201" spans="1:4" x14ac:dyDescent="0.3">
      <c r="A201" s="5" t="s">
        <v>243</v>
      </c>
      <c r="B201" s="7" t="s">
        <v>284</v>
      </c>
      <c r="C201" s="7" t="s">
        <v>3607</v>
      </c>
      <c r="D201" s="3"/>
    </row>
    <row r="202" spans="1:4" x14ac:dyDescent="0.3">
      <c r="A202" s="5" t="s">
        <v>244</v>
      </c>
      <c r="B202" s="7" t="s">
        <v>285</v>
      </c>
      <c r="C202" s="7" t="s">
        <v>3651</v>
      </c>
      <c r="D202" s="3"/>
    </row>
    <row r="203" spans="1:4" x14ac:dyDescent="0.3">
      <c r="A203" s="5" t="s">
        <v>245</v>
      </c>
      <c r="B203" s="7" t="s">
        <v>422</v>
      </c>
      <c r="C203" s="7" t="s">
        <v>3602</v>
      </c>
      <c r="D203" s="3"/>
    </row>
    <row r="204" spans="1:4" x14ac:dyDescent="0.3">
      <c r="A204" s="5" t="s">
        <v>246</v>
      </c>
      <c r="B204" s="7" t="s">
        <v>423</v>
      </c>
      <c r="C204" s="7" t="s">
        <v>816</v>
      </c>
      <c r="D204" s="3"/>
    </row>
    <row r="205" spans="1:4" x14ac:dyDescent="0.3">
      <c r="A205" s="5" t="s">
        <v>247</v>
      </c>
      <c r="B205" s="7" t="s">
        <v>424</v>
      </c>
      <c r="C205" s="7" t="s">
        <v>3652</v>
      </c>
      <c r="D205" s="3"/>
    </row>
    <row r="206" spans="1:4" x14ac:dyDescent="0.3">
      <c r="A206" s="5" t="s">
        <v>248</v>
      </c>
      <c r="B206" s="7" t="s">
        <v>425</v>
      </c>
      <c r="C206" s="7" t="s">
        <v>3652</v>
      </c>
      <c r="D206" s="3"/>
    </row>
    <row r="207" spans="1:4" x14ac:dyDescent="0.3">
      <c r="A207" s="5" t="s">
        <v>249</v>
      </c>
      <c r="B207" s="7" t="s">
        <v>426</v>
      </c>
      <c r="C207" s="7" t="s">
        <v>3603</v>
      </c>
      <c r="D207" s="3"/>
    </row>
    <row r="208" spans="1:4" x14ac:dyDescent="0.3">
      <c r="A208" s="5" t="s">
        <v>250</v>
      </c>
      <c r="B208" s="7" t="s">
        <v>286</v>
      </c>
      <c r="C208" s="7" t="s">
        <v>695</v>
      </c>
      <c r="D208" s="3"/>
    </row>
    <row r="209" spans="1:4" x14ac:dyDescent="0.3">
      <c r="A209" s="5" t="s">
        <v>251</v>
      </c>
      <c r="B209" s="7" t="s">
        <v>287</v>
      </c>
      <c r="C209" s="7" t="s">
        <v>3622</v>
      </c>
      <c r="D209" s="3"/>
    </row>
    <row r="210" spans="1:4" x14ac:dyDescent="0.3">
      <c r="A210" s="5" t="s">
        <v>252</v>
      </c>
      <c r="B210" s="7" t="s">
        <v>288</v>
      </c>
      <c r="C210" s="7" t="s">
        <v>3622</v>
      </c>
      <c r="D210" s="3"/>
    </row>
    <row r="211" spans="1:4" x14ac:dyDescent="0.3">
      <c r="A211" s="5" t="s">
        <v>253</v>
      </c>
      <c r="B211" s="7" t="s">
        <v>289</v>
      </c>
      <c r="C211" s="7" t="s">
        <v>3622</v>
      </c>
      <c r="D211" s="3"/>
    </row>
    <row r="212" spans="1:4" x14ac:dyDescent="0.3">
      <c r="A212" s="5" t="s">
        <v>254</v>
      </c>
      <c r="B212" s="7" t="s">
        <v>290</v>
      </c>
      <c r="C212" s="7" t="s">
        <v>3622</v>
      </c>
      <c r="D212" s="3"/>
    </row>
    <row r="213" spans="1:4" x14ac:dyDescent="0.3">
      <c r="A213" s="5" t="s">
        <v>255</v>
      </c>
      <c r="B213" s="7" t="s">
        <v>291</v>
      </c>
      <c r="C213" s="7" t="s">
        <v>3622</v>
      </c>
      <c r="D213" s="3"/>
    </row>
    <row r="214" spans="1:4" x14ac:dyDescent="0.3">
      <c r="A214" s="5" t="s">
        <v>434</v>
      </c>
      <c r="B214" s="7" t="s">
        <v>162</v>
      </c>
      <c r="C214" s="7" t="s">
        <v>906</v>
      </c>
      <c r="D214" s="3"/>
    </row>
    <row r="215" spans="1:4" x14ac:dyDescent="0.3">
      <c r="A215" s="5" t="s">
        <v>461</v>
      </c>
      <c r="B215" s="7" t="s">
        <v>462</v>
      </c>
      <c r="C215" s="7" t="s">
        <v>3653</v>
      </c>
      <c r="D215" s="3"/>
    </row>
    <row r="216" spans="1:4" x14ac:dyDescent="0.3">
      <c r="A216" s="5" t="s">
        <v>460</v>
      </c>
      <c r="B216" s="7" t="s">
        <v>459</v>
      </c>
      <c r="C216" s="7" t="s">
        <v>655</v>
      </c>
      <c r="D216" s="3"/>
    </row>
    <row r="217" spans="1:4" x14ac:dyDescent="0.3">
      <c r="A217" s="5" t="s">
        <v>465</v>
      </c>
      <c r="B217" s="7" t="s">
        <v>466</v>
      </c>
      <c r="C217" s="7" t="s">
        <v>3654</v>
      </c>
      <c r="D217" s="3"/>
    </row>
    <row r="218" spans="1:4" x14ac:dyDescent="0.3">
      <c r="A218" s="5" t="s">
        <v>463</v>
      </c>
      <c r="B218" s="7" t="s">
        <v>464</v>
      </c>
      <c r="C218" s="7" t="s">
        <v>660</v>
      </c>
      <c r="D218" s="3"/>
    </row>
    <row r="219" spans="1:4" x14ac:dyDescent="0.3">
      <c r="A219" s="5" t="s">
        <v>154</v>
      </c>
      <c r="B219" s="7" t="s">
        <v>155</v>
      </c>
      <c r="C219" s="7" t="s">
        <v>3655</v>
      </c>
      <c r="D219" s="3"/>
    </row>
    <row r="220" spans="1:4" x14ac:dyDescent="0.3">
      <c r="A220" s="5" t="s">
        <v>468</v>
      </c>
      <c r="B220" s="7" t="s">
        <v>467</v>
      </c>
      <c r="C220" s="7" t="s">
        <v>3655</v>
      </c>
      <c r="D220" s="3"/>
    </row>
    <row r="221" spans="1:4" x14ac:dyDescent="0.3">
      <c r="A221" s="3" t="s">
        <v>6</v>
      </c>
      <c r="B221" s="4" t="s">
        <v>430</v>
      </c>
      <c r="C221" s="4" t="s">
        <v>430</v>
      </c>
      <c r="D221" s="3"/>
    </row>
    <row r="222" spans="1:4" x14ac:dyDescent="0.3">
      <c r="A222" s="1" t="s">
        <v>481</v>
      </c>
      <c r="B222" s="9" t="s">
        <v>480</v>
      </c>
      <c r="C222" s="9" t="s">
        <v>3604</v>
      </c>
      <c r="D222" s="3"/>
    </row>
    <row r="223" spans="1:4" x14ac:dyDescent="0.3">
      <c r="A223" s="1" t="s">
        <v>483</v>
      </c>
      <c r="B223" s="9" t="s">
        <v>482</v>
      </c>
      <c r="C223" s="9" t="s">
        <v>3656</v>
      </c>
      <c r="D223" s="3"/>
    </row>
    <row r="224" spans="1:4" x14ac:dyDescent="0.3">
      <c r="A224" s="2" t="s">
        <v>246</v>
      </c>
      <c r="B224" s="10" t="s">
        <v>486</v>
      </c>
      <c r="C224" s="10" t="s">
        <v>3657</v>
      </c>
      <c r="D224" s="3"/>
    </row>
    <row r="225" spans="1:4" x14ac:dyDescent="0.3">
      <c r="A225" s="2" t="s">
        <v>484</v>
      </c>
      <c r="B225" s="10" t="s">
        <v>485</v>
      </c>
      <c r="C225" s="10" t="s">
        <v>3605</v>
      </c>
      <c r="D225" s="3"/>
    </row>
    <row r="226" spans="1:4" x14ac:dyDescent="0.3">
      <c r="A226" s="2" t="s">
        <v>489</v>
      </c>
      <c r="B226" s="10" t="s">
        <v>488</v>
      </c>
      <c r="C226" s="10" t="s">
        <v>3658</v>
      </c>
      <c r="D226" s="3"/>
    </row>
    <row r="227" spans="1:4" x14ac:dyDescent="0.3">
      <c r="A227" s="2" t="s">
        <v>491</v>
      </c>
      <c r="B227" s="10" t="s">
        <v>490</v>
      </c>
      <c r="C227" s="10" t="s">
        <v>3658</v>
      </c>
      <c r="D227" s="3"/>
    </row>
    <row r="228" spans="1:4" x14ac:dyDescent="0.3">
      <c r="A228" s="2" t="s">
        <v>457</v>
      </c>
      <c r="B228" s="10" t="s">
        <v>494</v>
      </c>
      <c r="C228" s="10" t="s">
        <v>3659</v>
      </c>
      <c r="D228" s="3"/>
    </row>
    <row r="229" spans="1:4" x14ac:dyDescent="0.3">
      <c r="A229" s="2" t="s">
        <v>455</v>
      </c>
      <c r="B229" s="10" t="s">
        <v>495</v>
      </c>
      <c r="C229" s="10" t="s">
        <v>3659</v>
      </c>
      <c r="D229" s="3"/>
    </row>
    <row r="230" spans="1:4" x14ac:dyDescent="0.3">
      <c r="A230" s="2" t="s">
        <v>497</v>
      </c>
      <c r="B230" s="10" t="s">
        <v>496</v>
      </c>
      <c r="C230" s="10" t="s">
        <v>3639</v>
      </c>
      <c r="D230" s="3"/>
    </row>
    <row r="231" spans="1:4" x14ac:dyDescent="0.3">
      <c r="A231" s="2" t="s">
        <v>238</v>
      </c>
      <c r="B231" s="10" t="s">
        <v>502</v>
      </c>
      <c r="C231" s="10" t="s">
        <v>3606</v>
      </c>
      <c r="D231" s="3"/>
    </row>
    <row r="232" spans="1:4" x14ac:dyDescent="0.3">
      <c r="A232" s="2" t="s">
        <v>504</v>
      </c>
      <c r="B232" s="10" t="s">
        <v>503</v>
      </c>
      <c r="C232" s="10" t="s">
        <v>3660</v>
      </c>
      <c r="D232" s="3"/>
    </row>
    <row r="233" spans="1:4" x14ac:dyDescent="0.3">
      <c r="A233" s="2" t="s">
        <v>240</v>
      </c>
      <c r="B233" s="10" t="s">
        <v>505</v>
      </c>
      <c r="C233" s="10" t="s">
        <v>3661</v>
      </c>
      <c r="D233" s="3"/>
    </row>
    <row r="234" spans="1:4" x14ac:dyDescent="0.3">
      <c r="A234" s="2" t="s">
        <v>507</v>
      </c>
      <c r="B234" s="10" t="s">
        <v>506</v>
      </c>
      <c r="C234" s="10" t="s">
        <v>3661</v>
      </c>
      <c r="D234" s="3"/>
    </row>
    <row r="235" spans="1:4" x14ac:dyDescent="0.3">
      <c r="A235" s="2" t="s">
        <v>50</v>
      </c>
      <c r="B235" s="10" t="s">
        <v>508</v>
      </c>
      <c r="C235" s="10" t="s">
        <v>3611</v>
      </c>
      <c r="D235" s="3"/>
    </row>
    <row r="236" spans="1:4" x14ac:dyDescent="0.3">
      <c r="A236" s="2" t="s">
        <v>510</v>
      </c>
      <c r="B236" s="10" t="s">
        <v>509</v>
      </c>
      <c r="C236" s="10" t="s">
        <v>3662</v>
      </c>
      <c r="D236" s="3"/>
    </row>
    <row r="237" spans="1:4" x14ac:dyDescent="0.3">
      <c r="A237" s="2" t="s">
        <v>512</v>
      </c>
      <c r="B237" s="10" t="s">
        <v>511</v>
      </c>
      <c r="C237" s="10" t="s">
        <v>3662</v>
      </c>
      <c r="D237" s="3"/>
    </row>
    <row r="238" spans="1:4" x14ac:dyDescent="0.3">
      <c r="A238" s="2" t="s">
        <v>514</v>
      </c>
      <c r="B238" s="10" t="s">
        <v>513</v>
      </c>
      <c r="C238" s="10" t="s">
        <v>920</v>
      </c>
      <c r="D238" s="3"/>
    </row>
    <row r="239" spans="1:4" x14ac:dyDescent="0.3">
      <c r="A239" s="1" t="s">
        <v>517</v>
      </c>
      <c r="B239" s="9" t="s">
        <v>518</v>
      </c>
      <c r="C239" s="9" t="s">
        <v>3603</v>
      </c>
      <c r="D239" s="3"/>
    </row>
    <row r="240" spans="1:4" x14ac:dyDescent="0.3">
      <c r="A240" s="2" t="s">
        <v>520</v>
      </c>
      <c r="B240" s="10" t="s">
        <v>519</v>
      </c>
      <c r="C240" s="10" t="s">
        <v>3663</v>
      </c>
      <c r="D240" s="3"/>
    </row>
    <row r="241" spans="1:4" x14ac:dyDescent="0.3">
      <c r="A241" s="1" t="s">
        <v>521</v>
      </c>
      <c r="B241" s="9" t="s">
        <v>409</v>
      </c>
      <c r="C241" s="9" t="s">
        <v>3626</v>
      </c>
      <c r="D241" s="3"/>
    </row>
    <row r="242" spans="1:4" x14ac:dyDescent="0.3">
      <c r="A242" s="1" t="s">
        <v>152</v>
      </c>
      <c r="B242" s="9" t="s">
        <v>522</v>
      </c>
      <c r="C242" s="9" t="s">
        <v>3628</v>
      </c>
      <c r="D242" s="3"/>
    </row>
    <row r="243" spans="1:4" x14ac:dyDescent="0.3">
      <c r="A243" s="2" t="s">
        <v>243</v>
      </c>
      <c r="B243" s="10" t="s">
        <v>523</v>
      </c>
      <c r="C243" s="10" t="s">
        <v>3607</v>
      </c>
      <c r="D243" s="3"/>
    </row>
    <row r="244" spans="1:4" x14ac:dyDescent="0.3">
      <c r="A244" s="2" t="s">
        <v>527</v>
      </c>
      <c r="B244" s="10" t="s">
        <v>526</v>
      </c>
      <c r="C244" s="10" t="s">
        <v>3664</v>
      </c>
      <c r="D244" s="3"/>
    </row>
    <row r="245" spans="1:4" x14ac:dyDescent="0.3">
      <c r="A245" s="1" t="s">
        <v>228</v>
      </c>
      <c r="B245" t="s">
        <v>528</v>
      </c>
      <c r="C245" t="s">
        <v>3665</v>
      </c>
      <c r="D245" s="3"/>
    </row>
    <row r="246" spans="1:4" x14ac:dyDescent="0.3">
      <c r="A246" s="1" t="s">
        <v>242</v>
      </c>
      <c r="B246" t="s">
        <v>283</v>
      </c>
      <c r="C246" t="s">
        <v>3651</v>
      </c>
      <c r="D246" s="3"/>
    </row>
    <row r="247" spans="1:4" x14ac:dyDescent="0.3">
      <c r="D247" s="3"/>
    </row>
    <row r="248" spans="1:4" x14ac:dyDescent="0.3">
      <c r="D248" s="3"/>
    </row>
    <row r="249" spans="1:4" x14ac:dyDescent="0.3">
      <c r="D249" s="3"/>
    </row>
    <row r="250" spans="1:4" x14ac:dyDescent="0.3">
      <c r="B250" s="7"/>
      <c r="C250" s="7"/>
      <c r="D250" s="3"/>
    </row>
    <row r="251" spans="1:4" x14ac:dyDescent="0.3">
      <c r="B251" s="7"/>
      <c r="C251" s="7"/>
      <c r="D251" s="3"/>
    </row>
    <row r="252" spans="1:4" x14ac:dyDescent="0.3">
      <c r="D252" s="3"/>
    </row>
    <row r="253" spans="1:4" x14ac:dyDescent="0.3">
      <c r="D253" s="3"/>
    </row>
    <row r="254" spans="1:4" x14ac:dyDescent="0.3">
      <c r="B254" s="7"/>
      <c r="C254" s="7"/>
      <c r="D254" s="3"/>
    </row>
    <row r="255" spans="1:4" x14ac:dyDescent="0.3">
      <c r="D255" s="3"/>
    </row>
    <row r="256" spans="1:4" x14ac:dyDescent="0.3">
      <c r="D256" s="3"/>
    </row>
    <row r="257" spans="4:4" x14ac:dyDescent="0.3">
      <c r="D257" s="3"/>
    </row>
    <row r="258" spans="4:4" x14ac:dyDescent="0.3">
      <c r="D258" s="3"/>
    </row>
    <row r="259" spans="4:4" x14ac:dyDescent="0.3">
      <c r="D259" s="3"/>
    </row>
    <row r="260" spans="4:4" x14ac:dyDescent="0.3">
      <c r="D260" s="3"/>
    </row>
    <row r="261" spans="4:4" x14ac:dyDescent="0.3">
      <c r="D261" s="3"/>
    </row>
    <row r="262" spans="4:4" x14ac:dyDescent="0.3">
      <c r="D262" s="3"/>
    </row>
    <row r="263" spans="4:4" x14ac:dyDescent="0.3">
      <c r="D263" s="3"/>
    </row>
    <row r="264" spans="4:4" x14ac:dyDescent="0.3">
      <c r="D264" s="3"/>
    </row>
    <row r="265" spans="4:4" x14ac:dyDescent="0.3">
      <c r="D265" s="3"/>
    </row>
    <row r="266" spans="4:4" x14ac:dyDescent="0.3">
      <c r="D266" s="3"/>
    </row>
    <row r="267" spans="4:4" x14ac:dyDescent="0.3">
      <c r="D267" s="3"/>
    </row>
    <row r="268" spans="4:4" x14ac:dyDescent="0.3">
      <c r="D268" s="3"/>
    </row>
    <row r="269" spans="4:4" x14ac:dyDescent="0.3">
      <c r="D269" s="3"/>
    </row>
    <row r="270" spans="4:4" x14ac:dyDescent="0.3">
      <c r="D270" s="3"/>
    </row>
    <row r="271" spans="4:4" x14ac:dyDescent="0.3">
      <c r="D271" s="3"/>
    </row>
    <row r="272" spans="4:4" x14ac:dyDescent="0.3">
      <c r="D272" s="3"/>
    </row>
    <row r="273" spans="2:4" x14ac:dyDescent="0.3">
      <c r="D273" s="3"/>
    </row>
    <row r="274" spans="2:4" x14ac:dyDescent="0.3">
      <c r="D274" s="3"/>
    </row>
    <row r="275" spans="2:4" x14ac:dyDescent="0.3">
      <c r="D275" s="3"/>
    </row>
    <row r="276" spans="2:4" x14ac:dyDescent="0.3">
      <c r="D276" s="3"/>
    </row>
    <row r="277" spans="2:4" x14ac:dyDescent="0.3">
      <c r="D277" s="3"/>
    </row>
    <row r="278" spans="2:4" x14ac:dyDescent="0.3">
      <c r="D278" s="3"/>
    </row>
    <row r="279" spans="2:4" x14ac:dyDescent="0.3">
      <c r="D279" s="3"/>
    </row>
    <row r="280" spans="2:4" x14ac:dyDescent="0.3">
      <c r="B280" s="7"/>
      <c r="C280" s="7"/>
      <c r="D280" s="3"/>
    </row>
    <row r="281" spans="2:4" x14ac:dyDescent="0.3">
      <c r="B281" s="7"/>
      <c r="C281" s="7"/>
      <c r="D281" s="3"/>
    </row>
    <row r="282" spans="2:4" x14ac:dyDescent="0.3">
      <c r="D282" s="3"/>
    </row>
    <row r="283" spans="2:4" x14ac:dyDescent="0.3">
      <c r="D283" s="3"/>
    </row>
    <row r="284" spans="2:4" x14ac:dyDescent="0.3">
      <c r="D284" s="3"/>
    </row>
    <row r="285" spans="2:4" x14ac:dyDescent="0.3">
      <c r="D285" s="3"/>
    </row>
    <row r="286" spans="2:4" x14ac:dyDescent="0.3">
      <c r="D286" s="3"/>
    </row>
    <row r="287" spans="2:4" x14ac:dyDescent="0.3">
      <c r="D287" s="3"/>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SINDICATOS CONTRA</vt:lpstr>
      <vt:lpstr>municipios</vt:lpstr>
      <vt:lpstr>PESQUISA</vt:lpstr>
      <vt:lpstr>BASE (CNPJ ÚNICOS)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Ludwig Flores da Cunha</cp:lastModifiedBy>
  <dcterms:created xsi:type="dcterms:W3CDTF">2024-10-21T12:48:56Z</dcterms:created>
  <dcterms:modified xsi:type="dcterms:W3CDTF">2025-10-03T12:45:17Z</dcterms:modified>
</cp:coreProperties>
</file>